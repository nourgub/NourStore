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ticles" sheetId="1" state="visible" r:id="rId3"/>
    <sheet name="Mouvemen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<sst xmlns="http://schemas.openxmlformats.org/spreadsheetml/2006/main" count="135" uniqueCount="49">
  <si>
    <t xml:space="preserve">Gestion de stock</t>
  </si>
  <si>
    <t xml:space="preserve">Nourix Academy · Projet 3 · Saisissez les entrées et sorties dans « Mouvements » : le stock se met à jour.</t>
  </si>
  <si>
    <t xml:space="preserve">Code</t>
  </si>
  <si>
    <t xml:space="preserve">Article</t>
  </si>
  <si>
    <t xml:space="preserve">Catégorie</t>
  </si>
  <si>
    <t xml:space="preserve">Stock initial</t>
  </si>
  <si>
    <t xml:space="preserve">Entrées</t>
  </si>
  <si>
    <t xml:space="preserve">Sorties</t>
  </si>
  <si>
    <t xml:space="preserve">Stock actuel</t>
  </si>
  <si>
    <t xml:space="preserve">Seuil d’alerte</t>
  </si>
  <si>
    <t xml:space="preserve">Prix unitaire</t>
  </si>
  <si>
    <t xml:space="preserve">Valeur du stock</t>
  </si>
  <si>
    <t xml:space="preserve">État</t>
  </si>
  <si>
    <t xml:space="preserve">A01</t>
  </si>
  <si>
    <t xml:space="preserve">Riz 5 kg</t>
  </si>
  <si>
    <t xml:space="preserve">Alimentation</t>
  </si>
  <si>
    <t xml:space="preserve">A02</t>
  </si>
  <si>
    <t xml:space="preserve">Huile 2 L</t>
  </si>
  <si>
    <t xml:space="preserve">A03</t>
  </si>
  <si>
    <t xml:space="preserve">Sucre 1 kg</t>
  </si>
  <si>
    <t xml:space="preserve">A04</t>
  </si>
  <si>
    <t xml:space="preserve">Café 250 g</t>
  </si>
  <si>
    <t xml:space="preserve">A05</t>
  </si>
  <si>
    <t xml:space="preserve">Savon (lot de 4)</t>
  </si>
  <si>
    <t xml:space="preserve">Hygiène</t>
  </si>
  <si>
    <t xml:space="preserve">A06</t>
  </si>
  <si>
    <t xml:space="preserve">Shampooing</t>
  </si>
  <si>
    <t xml:space="preserve">A07</t>
  </si>
  <si>
    <t xml:space="preserve">Lessive 3 kg</t>
  </si>
  <si>
    <t xml:space="preserve">Entretien</t>
  </si>
  <si>
    <t xml:space="preserve">A08</t>
  </si>
  <si>
    <t xml:space="preserve">Eau minérale (pack)</t>
  </si>
  <si>
    <t xml:space="preserve">Boissons</t>
  </si>
  <si>
    <t xml:space="preserve">A09</t>
  </si>
  <si>
    <t xml:space="preserve">Jus 1 L</t>
  </si>
  <si>
    <t xml:space="preserve">A10</t>
  </si>
  <si>
    <t xml:space="preserve">Pâtes 500 g</t>
  </si>
  <si>
    <t xml:space="preserve">TOTAL</t>
  </si>
  <si>
    <t xml:space="preserve">Articles à commander :</t>
  </si>
  <si>
    <t xml:space="preserve">Légende :</t>
  </si>
  <si>
    <t xml:space="preserve">Saisie (modifiable)</t>
  </si>
  <si>
    <t xml:space="preserve">Formule (ne pas modifier)</t>
  </si>
  <si>
    <t xml:space="preserve">Mouvements de stock</t>
  </si>
  <si>
    <t xml:space="preserve">Une ligne par mouvement. Type : Entrée ou Sortie (liste déroulante).</t>
  </si>
  <si>
    <t xml:space="preserve">Date</t>
  </si>
  <si>
    <t xml:space="preserve">Type</t>
  </si>
  <si>
    <t xml:space="preserve">Quantité</t>
  </si>
  <si>
    <t xml:space="preserve">Sortie</t>
  </si>
  <si>
    <t xml:space="preserve">Entrée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</si>
</sst>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#,##0.00"/>
    <numFmt numFmtId="167" formatCode="dd/mm/yyyy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7F6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E3B24"/>
        <bgColor rgb="FF333333"/>
      </patternFill>
    </fill>
    <fill>
      <patternFill patternType="solid">
        <fgColor rgb="FFFBF3DD"/>
        <bgColor rgb="FFFFF2CC"/>
      </patternFill>
    </fill>
    <fill>
      <patternFill patternType="solid">
        <fgColor rgb="FF217346"/>
        <bgColor rgb="FF008080"/>
      </patternFill>
    </fill>
    <fill>
      <patternFill patternType="solid">
        <fgColor rgb="FFFFF2CC"/>
        <bgColor rgb="FFFBF3DD"/>
      </patternFill>
    </fill>
    <fill>
      <patternFill patternType="solid">
        <fgColor rgb="FFE2EFDA"/>
        <bgColor rgb="FFFBF3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9C5700"/>
      </font>
      <fill>
        <patternFill>
          <bgColor rgb="FFFFEB9C"/>
        </patternFill>
      </fill>
    </dxf>
    <dxf>
      <font>
        <b val="1"/>
        <color rgb="FF9C0006"/>
      </font>
      <fill>
        <patternFill>
          <bgColor rgb="FFF8CBAD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217346"/>
      <rgbColor rgb="FFBFBFBF"/>
      <rgbColor rgb="FF878787"/>
      <rgbColor rgb="FF9999FF"/>
      <rgbColor rgb="FFC0504D"/>
      <rgbColor rgb="FFFFF2CC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BF3DD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E3B24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Stock actuel et seuil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Articles!G4</c:f>
              <c:strCache>
                <c:ptCount val="1"/>
                <c:pt idx="0">
                  <c:v>Stock actuel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Articles!$B$5:$B$14</c:f>
              <c:strCache>
                <c:ptCount val="10"/>
                <c:pt idx="0">
                  <c:v>Riz 5 kg</c:v>
                </c:pt>
                <c:pt idx="1">
                  <c:v>Huile 2 L</c:v>
                </c:pt>
                <c:pt idx="2">
                  <c:v>Sucre 1 kg</c:v>
                </c:pt>
                <c:pt idx="3">
                  <c:v>Café 250 g</c:v>
                </c:pt>
                <c:pt idx="4">
                  <c:v>Savon (lot de 4)</c:v>
                </c:pt>
                <c:pt idx="5">
                  <c:v>Shampooing</c:v>
                </c:pt>
                <c:pt idx="6">
                  <c:v>Lessive 3 kg</c:v>
                </c:pt>
                <c:pt idx="7">
                  <c:v>Eau minérale (pack)</c:v>
                </c:pt>
                <c:pt idx="8">
                  <c:v>Jus 1 L</c:v>
                </c:pt>
                <c:pt idx="9">
                  <c:v>Pâtes 500 g</c:v>
                </c:pt>
              </c:strCache>
            </c:strRef>
          </c:cat>
          <c:val>
            <c:numRef>
              <c:f>Articles!$G$5:$G$14</c:f>
              <c:numCache>
                <c:formatCode>0</c:formatCode>
                <c:ptCount val="10"/>
                <c:pt idx="0">
                  <c:v>32</c:v>
                </c:pt>
                <c:pt idx="1">
                  <c:v>39</c:v>
                </c:pt>
                <c:pt idx="2">
                  <c:v>59</c:v>
                </c:pt>
                <c:pt idx="3">
                  <c:v>21</c:v>
                </c:pt>
                <c:pt idx="4">
                  <c:v>41</c:v>
                </c:pt>
                <c:pt idx="5">
                  <c:v>10</c:v>
                </c:pt>
                <c:pt idx="6">
                  <c:v>0</c:v>
                </c:pt>
                <c:pt idx="7">
                  <c:v>55</c:v>
                </c:pt>
                <c:pt idx="8">
                  <c:v>7</c:v>
                </c:pt>
                <c:pt idx="9">
                  <c:v>74</c:v>
                </c:pt>
              </c:numCache>
            </c:numRef>
          </c:val>
        </c:ser>
        <c:ser>
          <c:idx val="1"/>
          <c:order val="1"/>
          <c:tx>
            <c:strRef>
              <c:f>Articles!H4</c:f>
              <c:strCache>
                <c:ptCount val="1"/>
                <c:pt idx="0">
                  <c:v>Seuil d’alerte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Articles!$B$5:$B$14</c:f>
              <c:strCache>
                <c:ptCount val="10"/>
                <c:pt idx="0">
                  <c:v>Riz 5 kg</c:v>
                </c:pt>
                <c:pt idx="1">
                  <c:v>Huile 2 L</c:v>
                </c:pt>
                <c:pt idx="2">
                  <c:v>Sucre 1 kg</c:v>
                </c:pt>
                <c:pt idx="3">
                  <c:v>Café 250 g</c:v>
                </c:pt>
                <c:pt idx="4">
                  <c:v>Savon (lot de 4)</c:v>
                </c:pt>
                <c:pt idx="5">
                  <c:v>Shampooing</c:v>
                </c:pt>
                <c:pt idx="6">
                  <c:v>Lessive 3 kg</c:v>
                </c:pt>
                <c:pt idx="7">
                  <c:v>Eau minérale (pack)</c:v>
                </c:pt>
                <c:pt idx="8">
                  <c:v>Jus 1 L</c:v>
                </c:pt>
                <c:pt idx="9">
                  <c:v>Pâtes 500 g</c:v>
                </c:pt>
              </c:strCache>
            </c:strRef>
          </c:cat>
          <c:val>
            <c:numRef>
              <c:f>Articles!$H$5:$H$14</c:f>
              <c:numCache>
                <c:formatCode>0</c:formatCode>
                <c:ptCount val="10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10</c:v>
                </c:pt>
                <c:pt idx="4">
                  <c:v>15</c:v>
                </c:pt>
                <c:pt idx="5">
                  <c:v>10</c:v>
                </c:pt>
                <c:pt idx="6">
                  <c:v>8</c:v>
                </c:pt>
                <c:pt idx="7">
                  <c:v>20</c:v>
                </c:pt>
                <c:pt idx="8">
                  <c:v>15</c:v>
                </c:pt>
                <c:pt idx="9">
                  <c:v>30</c:v>
                </c:pt>
              </c:numCache>
            </c:numRef>
          </c:val>
        </c:ser>
        <c:gapWidth val="150"/>
        <c:overlap val="0"/>
        <c:axId val="49760706"/>
        <c:axId val="99002019"/>
      </c:barChart>
      <c:catAx>
        <c:axId val="497607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002019"/>
        <c:crosses val="autoZero"/>
        <c:auto val="1"/>
        <c:lblAlgn val="ctr"/>
        <c:lblOffset val="100"/>
        <c:noMultiLvlLbl val="0"/>
      </c:catAx>
      <c:valAx>
        <c:axId val="990020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7607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21</xdr:row>
      <xdr:rowOff>0</xdr:rowOff>
    </xdr:from>
    <xdr:to>
      <xdr:col>7</xdr:col>
      <xdr:colOff>78840</xdr:colOff>
      <xdr:row>36</xdr:row>
      <xdr:rowOff>22320</xdr:rowOff>
    </xdr:to>
    <xdr:graphicFrame>
      <xdr:nvGraphicFramePr>
        <xdr:cNvPr id="0" name="Chart 1"/>
        <xdr:cNvGraphicFramePr/>
      </xdr:nvGraphicFramePr>
      <xdr:xfrm>
        <a:off x="640080" y="419112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9" min="8" style="0" width="13"/>
    <col collapsed="false" customWidth="true" hidden="false" outlineLevel="0" max="10" min="10" style="0" width="15"/>
    <col collapsed="false" customWidth="true" hidden="false" outlineLevel="0" max="11" min="11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s">
        <v>13</v>
      </c>
      <c r="B5" s="5" t="s">
        <v>14</v>
      </c>
      <c r="C5" s="5" t="s">
        <v>15</v>
      </c>
      <c r="D5" s="6" t="n">
        <v>40</v>
      </c>
      <c r="E5" s="7" t="n">
        <f aca="false">SUMIFS(Mouvements!$D:$D,Mouvements!$B:$B,A5,Mouvements!$C:$C,"Entrée")</f>
        <v>13</v>
      </c>
      <c r="F5" s="7" t="n">
        <f aca="false">SUMIFS(Mouvements!$D:$D,Mouvements!$B:$B,A5,Mouvements!$C:$C,"Sortie")</f>
        <v>21</v>
      </c>
      <c r="G5" s="8" t="n">
        <f aca="false">D5+E5-F5</f>
        <v>32</v>
      </c>
      <c r="H5" s="6" t="n">
        <v>15</v>
      </c>
      <c r="I5" s="9" t="n">
        <v>900</v>
      </c>
      <c r="J5" s="10" t="n">
        <f aca="false">G5*I5</f>
        <v>28800</v>
      </c>
      <c r="K5" s="11" t="str">
        <f aca="false">IF(G5&lt;=0,"Rupture",IF(G5&lt;=H5,"À commander","OK"))</f>
        <v>OK</v>
      </c>
    </row>
    <row r="6" customFormat="false" ht="15" hidden="false" customHeight="false" outlineLevel="0" collapsed="false">
      <c r="A6" s="4" t="s">
        <v>16</v>
      </c>
      <c r="B6" s="5" t="s">
        <v>17</v>
      </c>
      <c r="C6" s="5" t="s">
        <v>15</v>
      </c>
      <c r="D6" s="6" t="n">
        <v>60</v>
      </c>
      <c r="E6" s="7" t="n">
        <f aca="false">SUMIFS(Mouvements!$D:$D,Mouvements!$B:$B,A6,Mouvements!$C:$C,"Entrée")</f>
        <v>20</v>
      </c>
      <c r="F6" s="7" t="n">
        <f aca="false">SUMIFS(Mouvements!$D:$D,Mouvements!$B:$B,A6,Mouvements!$C:$C,"Sortie")</f>
        <v>41</v>
      </c>
      <c r="G6" s="8" t="n">
        <f aca="false">D6+E6-F6</f>
        <v>39</v>
      </c>
      <c r="H6" s="6" t="n">
        <v>20</v>
      </c>
      <c r="I6" s="9" t="n">
        <v>650</v>
      </c>
      <c r="J6" s="10" t="n">
        <f aca="false">G6*I6</f>
        <v>25350</v>
      </c>
      <c r="K6" s="11" t="str">
        <f aca="false">IF(G6&lt;=0,"Rupture",IF(G6&lt;=H6,"À commander","OK"))</f>
        <v>OK</v>
      </c>
    </row>
    <row r="7" customFormat="false" ht="15" hidden="false" customHeight="false" outlineLevel="0" collapsed="false">
      <c r="A7" s="4" t="s">
        <v>18</v>
      </c>
      <c r="B7" s="5" t="s">
        <v>19</v>
      </c>
      <c r="C7" s="5" t="s">
        <v>15</v>
      </c>
      <c r="D7" s="6" t="n">
        <v>80</v>
      </c>
      <c r="E7" s="7" t="n">
        <f aca="false">SUMIFS(Mouvements!$D:$D,Mouvements!$B:$B,A7,Mouvements!$C:$C,"Entrée")</f>
        <v>0</v>
      </c>
      <c r="F7" s="7" t="n">
        <f aca="false">SUMIFS(Mouvements!$D:$D,Mouvements!$B:$B,A7,Mouvements!$C:$C,"Sortie")</f>
        <v>21</v>
      </c>
      <c r="G7" s="8" t="n">
        <f aca="false">D7+E7-F7</f>
        <v>59</v>
      </c>
      <c r="H7" s="6" t="n">
        <v>25</v>
      </c>
      <c r="I7" s="9" t="n">
        <v>110</v>
      </c>
      <c r="J7" s="10" t="n">
        <f aca="false">G7*I7</f>
        <v>6490</v>
      </c>
      <c r="K7" s="11" t="str">
        <f aca="false">IF(G7&lt;=0,"Rupture",IF(G7&lt;=H7,"À commander","OK"))</f>
        <v>OK</v>
      </c>
    </row>
    <row r="8" customFormat="false" ht="15" hidden="false" customHeight="false" outlineLevel="0" collapsed="false">
      <c r="A8" s="4" t="s">
        <v>20</v>
      </c>
      <c r="B8" s="5" t="s">
        <v>21</v>
      </c>
      <c r="C8" s="5" t="s">
        <v>15</v>
      </c>
      <c r="D8" s="6" t="n">
        <v>12</v>
      </c>
      <c r="E8" s="7" t="n">
        <f aca="false">SUMIFS(Mouvements!$D:$D,Mouvements!$B:$B,A8,Mouvements!$C:$C,"Entrée")</f>
        <v>9</v>
      </c>
      <c r="F8" s="7" t="n">
        <f aca="false">SUMIFS(Mouvements!$D:$D,Mouvements!$B:$B,A8,Mouvements!$C:$C,"Sortie")</f>
        <v>0</v>
      </c>
      <c r="G8" s="8" t="n">
        <f aca="false">D8+E8-F8</f>
        <v>21</v>
      </c>
      <c r="H8" s="6" t="n">
        <v>10</v>
      </c>
      <c r="I8" s="9" t="n">
        <v>380</v>
      </c>
      <c r="J8" s="10" t="n">
        <f aca="false">G8*I8</f>
        <v>7980</v>
      </c>
      <c r="K8" s="11" t="str">
        <f aca="false">IF(G8&lt;=0,"Rupture",IF(G8&lt;=H8,"À commander","OK"))</f>
        <v>OK</v>
      </c>
    </row>
    <row r="9" customFormat="false" ht="15" hidden="false" customHeight="false" outlineLevel="0" collapsed="false">
      <c r="A9" s="4" t="s">
        <v>22</v>
      </c>
      <c r="B9" s="5" t="s">
        <v>23</v>
      </c>
      <c r="C9" s="5" t="s">
        <v>24</v>
      </c>
      <c r="D9" s="6" t="n">
        <v>50</v>
      </c>
      <c r="E9" s="7" t="n">
        <f aca="false">SUMIFS(Mouvements!$D:$D,Mouvements!$B:$B,A9,Mouvements!$C:$C,"Entrée")</f>
        <v>0</v>
      </c>
      <c r="F9" s="7" t="n">
        <f aca="false">SUMIFS(Mouvements!$D:$D,Mouvements!$B:$B,A9,Mouvements!$C:$C,"Sortie")</f>
        <v>9</v>
      </c>
      <c r="G9" s="8" t="n">
        <f aca="false">D9+E9-F9</f>
        <v>41</v>
      </c>
      <c r="H9" s="6" t="n">
        <v>15</v>
      </c>
      <c r="I9" s="9" t="n">
        <v>320</v>
      </c>
      <c r="J9" s="10" t="n">
        <f aca="false">G9*I9</f>
        <v>13120</v>
      </c>
      <c r="K9" s="11" t="str">
        <f aca="false">IF(G9&lt;=0,"Rupture",IF(G9&lt;=H9,"À commander","OK"))</f>
        <v>OK</v>
      </c>
    </row>
    <row r="10" customFormat="false" ht="15" hidden="false" customHeight="false" outlineLevel="0" collapsed="false">
      <c r="A10" s="4" t="s">
        <v>25</v>
      </c>
      <c r="B10" s="5" t="s">
        <v>26</v>
      </c>
      <c r="C10" s="5" t="s">
        <v>24</v>
      </c>
      <c r="D10" s="6" t="n">
        <v>30</v>
      </c>
      <c r="E10" s="7" t="n">
        <f aca="false">SUMIFS(Mouvements!$D:$D,Mouvements!$B:$B,A10,Mouvements!$C:$C,"Entrée")</f>
        <v>18</v>
      </c>
      <c r="F10" s="7" t="n">
        <f aca="false">SUMIFS(Mouvements!$D:$D,Mouvements!$B:$B,A10,Mouvements!$C:$C,"Sortie")</f>
        <v>38</v>
      </c>
      <c r="G10" s="8" t="n">
        <f aca="false">D10+E10-F10</f>
        <v>10</v>
      </c>
      <c r="H10" s="6" t="n">
        <v>10</v>
      </c>
      <c r="I10" s="9" t="n">
        <v>450</v>
      </c>
      <c r="J10" s="10" t="n">
        <f aca="false">G10*I10</f>
        <v>4500</v>
      </c>
      <c r="K10" s="11" t="str">
        <f aca="false">IF(G10&lt;=0,"Rupture",IF(G10&lt;=H10,"À commander","OK"))</f>
        <v>À commander</v>
      </c>
    </row>
    <row r="11" customFormat="false" ht="15" hidden="false" customHeight="false" outlineLevel="0" collapsed="false">
      <c r="A11" s="4" t="s">
        <v>27</v>
      </c>
      <c r="B11" s="5" t="s">
        <v>28</v>
      </c>
      <c r="C11" s="5" t="s">
        <v>29</v>
      </c>
      <c r="D11" s="6" t="n">
        <v>15</v>
      </c>
      <c r="E11" s="7" t="n">
        <f aca="false">SUMIFS(Mouvements!$D:$D,Mouvements!$B:$B,A11,Mouvements!$C:$C,"Entrée")</f>
        <v>21</v>
      </c>
      <c r="F11" s="7" t="n">
        <f aca="false">SUMIFS(Mouvements!$D:$D,Mouvements!$B:$B,A11,Mouvements!$C:$C,"Sortie")</f>
        <v>36</v>
      </c>
      <c r="G11" s="8" t="n">
        <f aca="false">D11+E11-F11</f>
        <v>0</v>
      </c>
      <c r="H11" s="6" t="n">
        <v>8</v>
      </c>
      <c r="I11" s="9" t="n">
        <v>1100</v>
      </c>
      <c r="J11" s="10" t="n">
        <f aca="false">G11*I11</f>
        <v>0</v>
      </c>
      <c r="K11" s="11" t="str">
        <f aca="false">IF(G11&lt;=0,"Rupture",IF(G11&lt;=H11,"À commander","OK"))</f>
        <v>Rupture</v>
      </c>
    </row>
    <row r="12" customFormat="false" ht="15" hidden="false" customHeight="false" outlineLevel="0" collapsed="false">
      <c r="A12" s="4" t="s">
        <v>30</v>
      </c>
      <c r="B12" s="5" t="s">
        <v>31</v>
      </c>
      <c r="C12" s="5" t="s">
        <v>32</v>
      </c>
      <c r="D12" s="6" t="n">
        <v>70</v>
      </c>
      <c r="E12" s="7" t="n">
        <f aca="false">SUMIFS(Mouvements!$D:$D,Mouvements!$B:$B,A12,Mouvements!$C:$C,"Entrée")</f>
        <v>0</v>
      </c>
      <c r="F12" s="7" t="n">
        <f aca="false">SUMIFS(Mouvements!$D:$D,Mouvements!$B:$B,A12,Mouvements!$C:$C,"Sortie")</f>
        <v>15</v>
      </c>
      <c r="G12" s="8" t="n">
        <f aca="false">D12+E12-F12</f>
        <v>55</v>
      </c>
      <c r="H12" s="6" t="n">
        <v>20</v>
      </c>
      <c r="I12" s="9" t="n">
        <v>240</v>
      </c>
      <c r="J12" s="10" t="n">
        <f aca="false">G12*I12</f>
        <v>13200</v>
      </c>
      <c r="K12" s="11" t="str">
        <f aca="false">IF(G12&lt;=0,"Rupture",IF(G12&lt;=H12,"À commander","OK"))</f>
        <v>OK</v>
      </c>
    </row>
    <row r="13" customFormat="false" ht="15" hidden="false" customHeight="false" outlineLevel="0" collapsed="false">
      <c r="A13" s="4" t="s">
        <v>33</v>
      </c>
      <c r="B13" s="5" t="s">
        <v>34</v>
      </c>
      <c r="C13" s="5" t="s">
        <v>32</v>
      </c>
      <c r="D13" s="6" t="n">
        <v>35</v>
      </c>
      <c r="E13" s="7" t="n">
        <f aca="false">SUMIFS(Mouvements!$D:$D,Mouvements!$B:$B,A13,Mouvements!$C:$C,"Entrée")</f>
        <v>0</v>
      </c>
      <c r="F13" s="7" t="n">
        <f aca="false">SUMIFS(Mouvements!$D:$D,Mouvements!$B:$B,A13,Mouvements!$C:$C,"Sortie")</f>
        <v>28</v>
      </c>
      <c r="G13" s="8" t="n">
        <f aca="false">D13+E13-F13</f>
        <v>7</v>
      </c>
      <c r="H13" s="6" t="n">
        <v>15</v>
      </c>
      <c r="I13" s="9" t="n">
        <v>180</v>
      </c>
      <c r="J13" s="10" t="n">
        <f aca="false">G13*I13</f>
        <v>1260</v>
      </c>
      <c r="K13" s="11" t="str">
        <f aca="false">IF(G13&lt;=0,"Rupture",IF(G13&lt;=H13,"À commander","OK"))</f>
        <v>À commander</v>
      </c>
    </row>
    <row r="14" customFormat="false" ht="15" hidden="false" customHeight="false" outlineLevel="0" collapsed="false">
      <c r="A14" s="4" t="s">
        <v>35</v>
      </c>
      <c r="B14" s="5" t="s">
        <v>36</v>
      </c>
      <c r="C14" s="5" t="s">
        <v>15</v>
      </c>
      <c r="D14" s="6" t="n">
        <v>90</v>
      </c>
      <c r="E14" s="7" t="n">
        <f aca="false">SUMIFS(Mouvements!$D:$D,Mouvements!$B:$B,A14,Mouvements!$C:$C,"Entrée")</f>
        <v>16</v>
      </c>
      <c r="F14" s="7" t="n">
        <f aca="false">SUMIFS(Mouvements!$D:$D,Mouvements!$B:$B,A14,Mouvements!$C:$C,"Sortie")</f>
        <v>32</v>
      </c>
      <c r="G14" s="8" t="n">
        <f aca="false">D14+E14-F14</f>
        <v>74</v>
      </c>
      <c r="H14" s="6" t="n">
        <v>30</v>
      </c>
      <c r="I14" s="9" t="n">
        <v>95</v>
      </c>
      <c r="J14" s="10" t="n">
        <f aca="false">G14*I14</f>
        <v>7030</v>
      </c>
      <c r="K14" s="11" t="str">
        <f aca="false">IF(G14&lt;=0,"Rupture",IF(G14&lt;=H14,"À commander","OK"))</f>
        <v>OK</v>
      </c>
    </row>
    <row r="15" customFormat="false" ht="15" hidden="false" customHeight="false" outlineLevel="0" collapsed="false">
      <c r="A15" s="12" t="s">
        <v>37</v>
      </c>
      <c r="B15" s="13"/>
      <c r="C15" s="13"/>
      <c r="D15" s="13"/>
      <c r="E15" s="13"/>
      <c r="F15" s="13"/>
      <c r="G15" s="13"/>
      <c r="H15" s="13"/>
      <c r="I15" s="13"/>
      <c r="J15" s="14" t="n">
        <f aca="false">SUM(J5:J14)</f>
        <v>107730</v>
      </c>
    </row>
    <row r="17" customFormat="false" ht="15" hidden="false" customHeight="false" outlineLevel="0" collapsed="false">
      <c r="A17" s="15" t="s">
        <v>38</v>
      </c>
      <c r="C17" s="16" t="n">
        <f aca="false">COUNTIF(K5:K14,"À commander")+COUNTIF(K5:K14,"Rupture")</f>
        <v>3</v>
      </c>
    </row>
    <row r="19" customFormat="false" ht="15" hidden="false" customHeight="false" outlineLevel="0" collapsed="false">
      <c r="A19" s="17" t="s">
        <v>39</v>
      </c>
      <c r="B19" s="18" t="s">
        <v>40</v>
      </c>
      <c r="C19" s="19" t="s">
        <v>41</v>
      </c>
    </row>
  </sheetData>
  <mergeCells count="2">
    <mergeCell ref="A1:J1"/>
    <mergeCell ref="A2:J2"/>
  </mergeCells>
  <conditionalFormatting sqref="K5:K14">
    <cfRule type="cellIs" priority="2" operator="equal" aboveAverage="0" equalAverage="0" bottom="0" percent="0" rank="0" text="" dxfId="0">
      <formula>"À commander"</formula>
    </cfRule>
    <cfRule type="cellIs" priority="3" operator="equal" aboveAverage="0" equalAverage="0" bottom="0" percent="0" rank="0" text="" dxfId="1">
      <formula>"Rupture"</formula>
    </cfRule>
    <cfRule type="cellIs" priority="4" operator="equal" aboveAverage="0" equalAverage="0" bottom="0" percent="0" rank="0" text="" dxfId="2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24"/>
  </cols>
  <sheetData>
    <row r="1" customFormat="false" ht="30" hidden="false" customHeight="true" outlineLevel="0" collapsed="false">
      <c r="A1" s="1" t="s">
        <v>42</v>
      </c>
      <c r="B1" s="1"/>
      <c r="C1" s="1"/>
      <c r="D1" s="1"/>
      <c r="E1" s="1"/>
    </row>
    <row r="2" customFormat="false" ht="15" hidden="false" customHeight="false" outlineLevel="0" collapsed="false">
      <c r="A2" s="2" t="s">
        <v>43</v>
      </c>
      <c r="B2" s="2"/>
      <c r="C2" s="2"/>
      <c r="D2" s="2"/>
      <c r="E2" s="2"/>
    </row>
    <row r="4" customFormat="false" ht="15" hidden="false" customHeight="false" outlineLevel="0" collapsed="false">
      <c r="A4" s="3" t="s">
        <v>44</v>
      </c>
      <c r="B4" s="3" t="s">
        <v>2</v>
      </c>
      <c r="C4" s="3" t="s">
        <v>45</v>
      </c>
      <c r="D4" s="3" t="s">
        <v>46</v>
      </c>
      <c r="E4" s="3" t="s">
        <v>3</v>
      </c>
    </row>
    <row r="5" customFormat="false" ht="15" hidden="false" customHeight="false" outlineLevel="0" collapsed="false">
      <c r="A5" s="20" t="n">
        <v>46266</v>
      </c>
      <c r="B5" s="4" t="s">
        <v>25</v>
      </c>
      <c r="C5" s="4" t="s">
        <v>47</v>
      </c>
      <c r="D5" s="6" t="n">
        <v>10</v>
      </c>
      <c r="E5" s="21" t="str">
        <f aca="false">IFERROR(VLOOKUP(B5,Articles!$A$5:$B$14,2,FALSE()),"")</f>
        <v>Shampooing</v>
      </c>
    </row>
    <row r="6" customFormat="false" ht="15" hidden="false" customHeight="false" outlineLevel="0" collapsed="false">
      <c r="A6" s="20" t="n">
        <v>46266</v>
      </c>
      <c r="B6" s="4" t="s">
        <v>13</v>
      </c>
      <c r="C6" s="4" t="s">
        <v>48</v>
      </c>
      <c r="D6" s="6" t="n">
        <v>13</v>
      </c>
      <c r="E6" s="21" t="str">
        <f aca="false">IFERROR(VLOOKUP(B6,Articles!$A$5:$B$14,2,FALSE()),"")</f>
        <v>Riz 5 kg</v>
      </c>
    </row>
    <row r="7" customFormat="false" ht="15" hidden="false" customHeight="false" outlineLevel="0" collapsed="false">
      <c r="A7" s="20" t="n">
        <v>46267</v>
      </c>
      <c r="B7" s="4" t="s">
        <v>16</v>
      </c>
      <c r="C7" s="4" t="s">
        <v>47</v>
      </c>
      <c r="D7" s="6" t="n">
        <v>4</v>
      </c>
      <c r="E7" s="21" t="str">
        <f aca="false">IFERROR(VLOOKUP(B7,Articles!$A$5:$B$14,2,FALSE()),"")</f>
        <v>Huile 2 L</v>
      </c>
    </row>
    <row r="8" customFormat="false" ht="15" hidden="false" customHeight="false" outlineLevel="0" collapsed="false">
      <c r="A8" s="20" t="n">
        <v>46268</v>
      </c>
      <c r="B8" s="4" t="s">
        <v>33</v>
      </c>
      <c r="C8" s="4" t="s">
        <v>47</v>
      </c>
      <c r="D8" s="6" t="n">
        <v>5</v>
      </c>
      <c r="E8" s="21" t="str">
        <f aca="false">IFERROR(VLOOKUP(B8,Articles!$A$5:$B$14,2,FALSE()),"")</f>
        <v>Jus 1 L</v>
      </c>
    </row>
    <row r="9" customFormat="false" ht="15" hidden="false" customHeight="false" outlineLevel="0" collapsed="false">
      <c r="A9" s="20" t="n">
        <v>46269</v>
      </c>
      <c r="B9" s="4" t="s">
        <v>27</v>
      </c>
      <c r="C9" s="4" t="s">
        <v>47</v>
      </c>
      <c r="D9" s="6" t="n">
        <v>7</v>
      </c>
      <c r="E9" s="21" t="str">
        <f aca="false">IFERROR(VLOOKUP(B9,Articles!$A$5:$B$14,2,FALSE()),"")</f>
        <v>Lessive 3 kg</v>
      </c>
    </row>
    <row r="10" customFormat="false" ht="15" hidden="false" customHeight="false" outlineLevel="0" collapsed="false">
      <c r="A10" s="20" t="n">
        <v>46269</v>
      </c>
      <c r="B10" s="4" t="s">
        <v>16</v>
      </c>
      <c r="C10" s="4" t="s">
        <v>47</v>
      </c>
      <c r="D10" s="6" t="n">
        <v>4</v>
      </c>
      <c r="E10" s="21" t="str">
        <f aca="false">IFERROR(VLOOKUP(B10,Articles!$A$5:$B$14,2,FALSE()),"")</f>
        <v>Huile 2 L</v>
      </c>
    </row>
    <row r="11" customFormat="false" ht="15" hidden="false" customHeight="false" outlineLevel="0" collapsed="false">
      <c r="A11" s="20" t="n">
        <v>46270</v>
      </c>
      <c r="B11" s="4" t="s">
        <v>35</v>
      </c>
      <c r="C11" s="4" t="s">
        <v>48</v>
      </c>
      <c r="D11" s="6" t="n">
        <v>8</v>
      </c>
      <c r="E11" s="21" t="str">
        <f aca="false">IFERROR(VLOOKUP(B11,Articles!$A$5:$B$14,2,FALSE()),"")</f>
        <v>Pâtes 500 g</v>
      </c>
    </row>
    <row r="12" customFormat="false" ht="15" hidden="false" customHeight="false" outlineLevel="0" collapsed="false">
      <c r="A12" s="20" t="n">
        <v>46271</v>
      </c>
      <c r="B12" s="4" t="s">
        <v>35</v>
      </c>
      <c r="C12" s="4" t="s">
        <v>47</v>
      </c>
      <c r="D12" s="6" t="n">
        <v>10</v>
      </c>
      <c r="E12" s="21" t="str">
        <f aca="false">IFERROR(VLOOKUP(B12,Articles!$A$5:$B$14,2,FALSE()),"")</f>
        <v>Pâtes 500 g</v>
      </c>
    </row>
    <row r="13" customFormat="false" ht="15" hidden="false" customHeight="false" outlineLevel="0" collapsed="false">
      <c r="A13" s="20" t="n">
        <v>46272</v>
      </c>
      <c r="B13" s="4" t="s">
        <v>13</v>
      </c>
      <c r="C13" s="4" t="s">
        <v>47</v>
      </c>
      <c r="D13" s="6" t="n">
        <v>4</v>
      </c>
      <c r="E13" s="21" t="str">
        <f aca="false">IFERROR(VLOOKUP(B13,Articles!$A$5:$B$14,2,FALSE()),"")</f>
        <v>Riz 5 kg</v>
      </c>
    </row>
    <row r="14" customFormat="false" ht="15" hidden="false" customHeight="false" outlineLevel="0" collapsed="false">
      <c r="A14" s="20" t="n">
        <v>46272</v>
      </c>
      <c r="B14" s="4" t="s">
        <v>33</v>
      </c>
      <c r="C14" s="4" t="s">
        <v>47</v>
      </c>
      <c r="D14" s="6" t="n">
        <v>8</v>
      </c>
      <c r="E14" s="21" t="str">
        <f aca="false">IFERROR(VLOOKUP(B14,Articles!$A$5:$B$14,2,FALSE()),"")</f>
        <v>Jus 1 L</v>
      </c>
    </row>
    <row r="15" customFormat="false" ht="15" hidden="false" customHeight="false" outlineLevel="0" collapsed="false">
      <c r="A15" s="20" t="n">
        <v>46273</v>
      </c>
      <c r="B15" s="4" t="s">
        <v>27</v>
      </c>
      <c r="C15" s="4" t="s">
        <v>48</v>
      </c>
      <c r="D15" s="6" t="n">
        <v>6</v>
      </c>
      <c r="E15" s="21" t="str">
        <f aca="false">IFERROR(VLOOKUP(B15,Articles!$A$5:$B$14,2,FALSE()),"")</f>
        <v>Lessive 3 kg</v>
      </c>
    </row>
    <row r="16" customFormat="false" ht="15" hidden="false" customHeight="false" outlineLevel="0" collapsed="false">
      <c r="A16" s="20" t="n">
        <v>46274</v>
      </c>
      <c r="B16" s="4" t="s">
        <v>35</v>
      </c>
      <c r="C16" s="4" t="s">
        <v>47</v>
      </c>
      <c r="D16" s="6" t="n">
        <v>6</v>
      </c>
      <c r="E16" s="21" t="str">
        <f aca="false">IFERROR(VLOOKUP(B16,Articles!$A$5:$B$14,2,FALSE()),"")</f>
        <v>Pâtes 500 g</v>
      </c>
    </row>
    <row r="17" customFormat="false" ht="15" hidden="false" customHeight="false" outlineLevel="0" collapsed="false">
      <c r="A17" s="20" t="n">
        <v>46275</v>
      </c>
      <c r="B17" s="4" t="s">
        <v>16</v>
      </c>
      <c r="C17" s="4" t="s">
        <v>47</v>
      </c>
      <c r="D17" s="6" t="n">
        <v>7</v>
      </c>
      <c r="E17" s="21" t="str">
        <f aca="false">IFERROR(VLOOKUP(B17,Articles!$A$5:$B$14,2,FALSE()),"")</f>
        <v>Huile 2 L</v>
      </c>
    </row>
    <row r="18" customFormat="false" ht="15" hidden="false" customHeight="false" outlineLevel="0" collapsed="false">
      <c r="A18" s="20" t="n">
        <v>46275</v>
      </c>
      <c r="B18" s="4" t="s">
        <v>25</v>
      </c>
      <c r="C18" s="4" t="s">
        <v>48</v>
      </c>
      <c r="D18" s="6" t="n">
        <v>6</v>
      </c>
      <c r="E18" s="21" t="str">
        <f aca="false">IFERROR(VLOOKUP(B18,Articles!$A$5:$B$14,2,FALSE()),"")</f>
        <v>Shampooing</v>
      </c>
    </row>
    <row r="19" customFormat="false" ht="15" hidden="false" customHeight="false" outlineLevel="0" collapsed="false">
      <c r="A19" s="20" t="n">
        <v>46276</v>
      </c>
      <c r="B19" s="4" t="s">
        <v>35</v>
      </c>
      <c r="C19" s="4" t="s">
        <v>48</v>
      </c>
      <c r="D19" s="6" t="n">
        <v>8</v>
      </c>
      <c r="E19" s="21" t="str">
        <f aca="false">IFERROR(VLOOKUP(B19,Articles!$A$5:$B$14,2,FALSE()),"")</f>
        <v>Pâtes 500 g</v>
      </c>
    </row>
    <row r="20" customFormat="false" ht="15" hidden="false" customHeight="false" outlineLevel="0" collapsed="false">
      <c r="A20" s="20" t="n">
        <v>46277</v>
      </c>
      <c r="B20" s="4" t="s">
        <v>30</v>
      </c>
      <c r="C20" s="4" t="s">
        <v>47</v>
      </c>
      <c r="D20" s="6" t="n">
        <v>10</v>
      </c>
      <c r="E20" s="21" t="str">
        <f aca="false">IFERROR(VLOOKUP(B20,Articles!$A$5:$B$14,2,FALSE()),"")</f>
        <v>Eau minérale (pack)</v>
      </c>
    </row>
    <row r="21" customFormat="false" ht="15" hidden="false" customHeight="false" outlineLevel="0" collapsed="false">
      <c r="A21" s="20" t="n">
        <v>46278</v>
      </c>
      <c r="B21" s="4" t="s">
        <v>25</v>
      </c>
      <c r="C21" s="4" t="s">
        <v>47</v>
      </c>
      <c r="D21" s="6" t="n">
        <v>11</v>
      </c>
      <c r="E21" s="21" t="str">
        <f aca="false">IFERROR(VLOOKUP(B21,Articles!$A$5:$B$14,2,FALSE()),"")</f>
        <v>Shampooing</v>
      </c>
    </row>
    <row r="22" customFormat="false" ht="15" hidden="false" customHeight="false" outlineLevel="0" collapsed="false">
      <c r="A22" s="20" t="n">
        <v>46278</v>
      </c>
      <c r="B22" s="4" t="s">
        <v>25</v>
      </c>
      <c r="C22" s="4" t="s">
        <v>47</v>
      </c>
      <c r="D22" s="6" t="n">
        <v>6</v>
      </c>
      <c r="E22" s="21" t="str">
        <f aca="false">IFERROR(VLOOKUP(B22,Articles!$A$5:$B$14,2,FALSE()),"")</f>
        <v>Shampooing</v>
      </c>
    </row>
    <row r="23" customFormat="false" ht="15" hidden="false" customHeight="false" outlineLevel="0" collapsed="false">
      <c r="A23" s="20" t="n">
        <v>46279</v>
      </c>
      <c r="B23" s="4" t="s">
        <v>20</v>
      </c>
      <c r="C23" s="4" t="s">
        <v>48</v>
      </c>
      <c r="D23" s="6" t="n">
        <v>9</v>
      </c>
      <c r="E23" s="21" t="str">
        <f aca="false">IFERROR(VLOOKUP(B23,Articles!$A$5:$B$14,2,FALSE()),"")</f>
        <v>Café 250 g</v>
      </c>
    </row>
    <row r="24" customFormat="false" ht="15" hidden="false" customHeight="false" outlineLevel="0" collapsed="false">
      <c r="A24" s="20" t="n">
        <v>46280</v>
      </c>
      <c r="B24" s="4" t="s">
        <v>33</v>
      </c>
      <c r="C24" s="4" t="s">
        <v>47</v>
      </c>
      <c r="D24" s="6" t="n">
        <v>9</v>
      </c>
      <c r="E24" s="21" t="str">
        <f aca="false">IFERROR(VLOOKUP(B24,Articles!$A$5:$B$14,2,FALSE()),"")</f>
        <v>Jus 1 L</v>
      </c>
    </row>
    <row r="25" customFormat="false" ht="15" hidden="false" customHeight="false" outlineLevel="0" collapsed="false">
      <c r="A25" s="20" t="n">
        <v>46281</v>
      </c>
      <c r="B25" s="4" t="s">
        <v>30</v>
      </c>
      <c r="C25" s="4" t="s">
        <v>47</v>
      </c>
      <c r="D25" s="6" t="n">
        <v>5</v>
      </c>
      <c r="E25" s="21" t="str">
        <f aca="false">IFERROR(VLOOKUP(B25,Articles!$A$5:$B$14,2,FALSE()),"")</f>
        <v>Eau minérale (pack)</v>
      </c>
    </row>
    <row r="26" customFormat="false" ht="15" hidden="false" customHeight="false" outlineLevel="0" collapsed="false">
      <c r="A26" s="20" t="n">
        <v>46281</v>
      </c>
      <c r="B26" s="4" t="s">
        <v>16</v>
      </c>
      <c r="C26" s="4" t="s">
        <v>47</v>
      </c>
      <c r="D26" s="6" t="n">
        <v>6</v>
      </c>
      <c r="E26" s="21" t="str">
        <f aca="false">IFERROR(VLOOKUP(B26,Articles!$A$5:$B$14,2,FALSE()),"")</f>
        <v>Huile 2 L</v>
      </c>
    </row>
    <row r="27" customFormat="false" ht="15" hidden="false" customHeight="false" outlineLevel="0" collapsed="false">
      <c r="A27" s="20" t="n">
        <v>46282</v>
      </c>
      <c r="B27" s="4" t="s">
        <v>25</v>
      </c>
      <c r="C27" s="4" t="s">
        <v>48</v>
      </c>
      <c r="D27" s="6" t="n">
        <v>12</v>
      </c>
      <c r="E27" s="21" t="str">
        <f aca="false">IFERROR(VLOOKUP(B27,Articles!$A$5:$B$14,2,FALSE()),"")</f>
        <v>Shampooing</v>
      </c>
    </row>
    <row r="28" customFormat="false" ht="15" hidden="false" customHeight="false" outlineLevel="0" collapsed="false">
      <c r="A28" s="20" t="n">
        <v>46283</v>
      </c>
      <c r="B28" s="4" t="s">
        <v>27</v>
      </c>
      <c r="C28" s="4" t="s">
        <v>48</v>
      </c>
      <c r="D28" s="6" t="n">
        <v>15</v>
      </c>
      <c r="E28" s="21" t="str">
        <f aca="false">IFERROR(VLOOKUP(B28,Articles!$A$5:$B$14,2,FALSE()),"")</f>
        <v>Lessive 3 kg</v>
      </c>
    </row>
    <row r="29" customFormat="false" ht="15" hidden="false" customHeight="false" outlineLevel="0" collapsed="false">
      <c r="A29" s="20" t="n">
        <v>46284</v>
      </c>
      <c r="B29" s="4" t="s">
        <v>16</v>
      </c>
      <c r="C29" s="4" t="s">
        <v>47</v>
      </c>
      <c r="D29" s="6" t="n">
        <v>9</v>
      </c>
      <c r="E29" s="21" t="str">
        <f aca="false">IFERROR(VLOOKUP(B29,Articles!$A$5:$B$14,2,FALSE()),"")</f>
        <v>Huile 2 L</v>
      </c>
    </row>
    <row r="30" customFormat="false" ht="15" hidden="false" customHeight="false" outlineLevel="0" collapsed="false">
      <c r="A30" s="20" t="n">
        <v>46284</v>
      </c>
      <c r="B30" s="4" t="s">
        <v>25</v>
      </c>
      <c r="C30" s="4" t="s">
        <v>47</v>
      </c>
      <c r="D30" s="6" t="n">
        <v>11</v>
      </c>
      <c r="E30" s="21" t="str">
        <f aca="false">IFERROR(VLOOKUP(B30,Articles!$A$5:$B$14,2,FALSE()),"")</f>
        <v>Shampooing</v>
      </c>
    </row>
    <row r="31" customFormat="false" ht="15" hidden="false" customHeight="false" outlineLevel="0" collapsed="false">
      <c r="A31" s="20" t="n">
        <v>46285</v>
      </c>
      <c r="B31" s="4" t="s">
        <v>35</v>
      </c>
      <c r="C31" s="4" t="s">
        <v>47</v>
      </c>
      <c r="D31" s="6" t="n">
        <v>5</v>
      </c>
      <c r="E31" s="21" t="str">
        <f aca="false">IFERROR(VLOOKUP(B31,Articles!$A$5:$B$14,2,FALSE()),"")</f>
        <v>Pâtes 500 g</v>
      </c>
    </row>
    <row r="32" customFormat="false" ht="15" hidden="false" customHeight="false" outlineLevel="0" collapsed="false">
      <c r="A32" s="20" t="n">
        <v>46286</v>
      </c>
      <c r="B32" s="4" t="s">
        <v>16</v>
      </c>
      <c r="C32" s="4" t="s">
        <v>47</v>
      </c>
      <c r="D32" s="6" t="n">
        <v>11</v>
      </c>
      <c r="E32" s="21" t="str">
        <f aca="false">IFERROR(VLOOKUP(B32,Articles!$A$5:$B$14,2,FALSE()),"")</f>
        <v>Huile 2 L</v>
      </c>
    </row>
    <row r="33" customFormat="false" ht="15" hidden="false" customHeight="false" outlineLevel="0" collapsed="false">
      <c r="A33" s="20" t="n">
        <v>46287</v>
      </c>
      <c r="B33" s="4" t="s">
        <v>16</v>
      </c>
      <c r="C33" s="4" t="s">
        <v>48</v>
      </c>
      <c r="D33" s="6" t="n">
        <v>9</v>
      </c>
      <c r="E33" s="21" t="str">
        <f aca="false">IFERROR(VLOOKUP(B33,Articles!$A$5:$B$14,2,FALSE()),"")</f>
        <v>Huile 2 L</v>
      </c>
    </row>
    <row r="34" customFormat="false" ht="15" hidden="false" customHeight="false" outlineLevel="0" collapsed="false">
      <c r="A34" s="20" t="n">
        <v>46287</v>
      </c>
      <c r="B34" s="4" t="s">
        <v>35</v>
      </c>
      <c r="C34" s="4" t="s">
        <v>47</v>
      </c>
      <c r="D34" s="6" t="n">
        <v>11</v>
      </c>
      <c r="E34" s="21" t="str">
        <f aca="false">IFERROR(VLOOKUP(B34,Articles!$A$5:$B$14,2,FALSE()),"")</f>
        <v>Pâtes 500 g</v>
      </c>
    </row>
    <row r="35" customFormat="false" ht="15" hidden="false" customHeight="false" outlineLevel="0" collapsed="false">
      <c r="A35" s="20" t="n">
        <v>46288</v>
      </c>
      <c r="B35" s="4" t="s">
        <v>22</v>
      </c>
      <c r="C35" s="4" t="s">
        <v>47</v>
      </c>
      <c r="D35" s="6" t="n">
        <v>9</v>
      </c>
      <c r="E35" s="21" t="str">
        <f aca="false">IFERROR(VLOOKUP(B35,Articles!$A$5:$B$14,2,FALSE()),"")</f>
        <v>Savon (lot de 4)</v>
      </c>
    </row>
    <row r="36" customFormat="false" ht="15" hidden="false" customHeight="false" outlineLevel="0" collapsed="false">
      <c r="A36" s="20" t="n">
        <v>46289</v>
      </c>
      <c r="B36" s="4" t="s">
        <v>13</v>
      </c>
      <c r="C36" s="4" t="s">
        <v>47</v>
      </c>
      <c r="D36" s="6" t="n">
        <v>9</v>
      </c>
      <c r="E36" s="21" t="str">
        <f aca="false">IFERROR(VLOOKUP(B36,Articles!$A$5:$B$14,2,FALSE()),"")</f>
        <v>Riz 5 kg</v>
      </c>
    </row>
    <row r="37" customFormat="false" ht="15" hidden="false" customHeight="false" outlineLevel="0" collapsed="false">
      <c r="A37" s="20" t="n">
        <v>46290</v>
      </c>
      <c r="B37" s="4" t="s">
        <v>18</v>
      </c>
      <c r="C37" s="4" t="s">
        <v>47</v>
      </c>
      <c r="D37" s="6" t="n">
        <v>11</v>
      </c>
      <c r="E37" s="21" t="str">
        <f aca="false">IFERROR(VLOOKUP(B37,Articles!$A$5:$B$14,2,FALSE()),"")</f>
        <v>Sucre 1 kg</v>
      </c>
    </row>
    <row r="38" customFormat="false" ht="15" hidden="false" customHeight="false" outlineLevel="0" collapsed="false">
      <c r="A38" s="20" t="n">
        <v>46290</v>
      </c>
      <c r="B38" s="4" t="s">
        <v>13</v>
      </c>
      <c r="C38" s="4" t="s">
        <v>47</v>
      </c>
      <c r="D38" s="6" t="n">
        <v>8</v>
      </c>
      <c r="E38" s="21" t="str">
        <f aca="false">IFERROR(VLOOKUP(B38,Articles!$A$5:$B$14,2,FALSE()),"")</f>
        <v>Riz 5 kg</v>
      </c>
    </row>
    <row r="39" customFormat="false" ht="15" hidden="false" customHeight="false" outlineLevel="0" collapsed="false">
      <c r="A39" s="20" t="n">
        <v>46291</v>
      </c>
      <c r="B39" s="4" t="s">
        <v>18</v>
      </c>
      <c r="C39" s="4" t="s">
        <v>47</v>
      </c>
      <c r="D39" s="6" t="n">
        <v>10</v>
      </c>
      <c r="E39" s="21" t="str">
        <f aca="false">IFERROR(VLOOKUP(B39,Articles!$A$5:$B$14,2,FALSE()),"")</f>
        <v>Sucre 1 kg</v>
      </c>
    </row>
    <row r="40" customFormat="false" ht="15" hidden="false" customHeight="false" outlineLevel="0" collapsed="false">
      <c r="A40" s="20" t="n">
        <v>46292</v>
      </c>
      <c r="B40" s="4" t="s">
        <v>27</v>
      </c>
      <c r="C40" s="4" t="s">
        <v>47</v>
      </c>
      <c r="D40" s="6" t="n">
        <v>11</v>
      </c>
      <c r="E40" s="21" t="str">
        <f aca="false">IFERROR(VLOOKUP(B40,Articles!$A$5:$B$14,2,FALSE()),"")</f>
        <v>Lessive 3 kg</v>
      </c>
    </row>
    <row r="41" customFormat="false" ht="15" hidden="false" customHeight="false" outlineLevel="0" collapsed="false">
      <c r="A41" s="20" t="n">
        <v>46293</v>
      </c>
      <c r="B41" s="4" t="s">
        <v>16</v>
      </c>
      <c r="C41" s="4" t="s">
        <v>48</v>
      </c>
      <c r="D41" s="6" t="n">
        <v>11</v>
      </c>
      <c r="E41" s="21" t="str">
        <f aca="false">IFERROR(VLOOKUP(B41,Articles!$A$5:$B$14,2,FALSE()),"")</f>
        <v>Huile 2 L</v>
      </c>
    </row>
    <row r="42" customFormat="false" ht="15" hidden="false" customHeight="false" outlineLevel="0" collapsed="false">
      <c r="A42" s="20" t="n">
        <v>46293</v>
      </c>
      <c r="B42" s="4" t="s">
        <v>33</v>
      </c>
      <c r="C42" s="4" t="s">
        <v>47</v>
      </c>
      <c r="D42" s="6" t="n">
        <v>6</v>
      </c>
      <c r="E42" s="21" t="str">
        <f aca="false">IFERROR(VLOOKUP(B42,Articles!$A$5:$B$14,2,FALSE()),"")</f>
        <v>Jus 1 L</v>
      </c>
    </row>
    <row r="43" customFormat="false" ht="15" hidden="false" customHeight="false" outlineLevel="0" collapsed="false">
      <c r="A43" s="20" t="n">
        <v>46294</v>
      </c>
      <c r="B43" s="4" t="s">
        <v>27</v>
      </c>
      <c r="C43" s="4" t="s">
        <v>47</v>
      </c>
      <c r="D43" s="6" t="n">
        <v>8</v>
      </c>
      <c r="E43" s="21" t="str">
        <f aca="false">IFERROR(VLOOKUP(B43,Articles!$A$5:$B$14,2,FALSE()),"")</f>
        <v>Lessive 3 kg</v>
      </c>
    </row>
    <row r="44" customFormat="false" ht="15" hidden="false" customHeight="false" outlineLevel="0" collapsed="false">
      <c r="A44" s="20" t="n">
        <v>46295</v>
      </c>
      <c r="B44" s="4" t="s">
        <v>27</v>
      </c>
      <c r="C44" s="4" t="s">
        <v>47</v>
      </c>
      <c r="D44" s="6" t="n">
        <v>10</v>
      </c>
      <c r="E44" s="21" t="str">
        <f aca="false">IFERROR(VLOOKUP(B44,Articles!$A$5:$B$14,2,FALSE()),"")</f>
        <v>Lessive 3 kg</v>
      </c>
    </row>
    <row r="45" customFormat="false" ht="15" hidden="false" customHeight="false" outlineLevel="0" collapsed="false">
      <c r="A45" s="5"/>
      <c r="B45" s="5"/>
      <c r="C45" s="5"/>
      <c r="D45" s="5"/>
      <c r="E45" s="21" t="str">
        <f aca="false">IF(B45="","",IFERROR(VLOOKUP(B45,Articles!$A$5:$B$14,2,FALSE()),"Code inconnu"))</f>
        <v/>
      </c>
    </row>
    <row r="46" customFormat="false" ht="15" hidden="false" customHeight="false" outlineLevel="0" collapsed="false">
      <c r="A46" s="5"/>
      <c r="B46" s="5"/>
      <c r="C46" s="5"/>
      <c r="D46" s="5"/>
      <c r="E46" s="21" t="str">
        <f aca="false">IF(B46="","",IFERROR(VLOOKUP(B46,Articles!$A$5:$B$14,2,FALSE()),"Code inconnu"))</f>
        <v/>
      </c>
    </row>
    <row r="47" customFormat="false" ht="15" hidden="false" customHeight="false" outlineLevel="0" collapsed="false">
      <c r="A47" s="5"/>
      <c r="B47" s="5"/>
      <c r="C47" s="5"/>
      <c r="D47" s="5"/>
      <c r="E47" s="21" t="str">
        <f aca="false">IF(B47="","",IFERROR(VLOOKUP(B47,Articles!$A$5:$B$14,2,FALSE()),"Code inconnu"))</f>
        <v/>
      </c>
    </row>
    <row r="48" customFormat="false" ht="15" hidden="false" customHeight="false" outlineLevel="0" collapsed="false">
      <c r="A48" s="5"/>
      <c r="B48" s="5"/>
      <c r="C48" s="5"/>
      <c r="D48" s="5"/>
      <c r="E48" s="21" t="str">
        <f aca="false">IF(B48="","",IFERROR(VLOOKUP(B48,Articles!$A$5:$B$14,2,FALSE()),"Code inconnu"))</f>
        <v/>
      </c>
    </row>
    <row r="49" customFormat="false" ht="15" hidden="false" customHeight="false" outlineLevel="0" collapsed="false">
      <c r="A49" s="5"/>
      <c r="B49" s="5"/>
      <c r="C49" s="5"/>
      <c r="D49" s="5"/>
      <c r="E49" s="21" t="str">
        <f aca="false">IF(B49="","",IFERROR(VLOOKUP(B49,Articles!$A$5:$B$14,2,FALSE()),"Code inconnu"))</f>
        <v/>
      </c>
    </row>
    <row r="50" customFormat="false" ht="15" hidden="false" customHeight="false" outlineLevel="0" collapsed="false">
      <c r="A50" s="5"/>
      <c r="B50" s="5"/>
      <c r="C50" s="5"/>
      <c r="D50" s="5"/>
      <c r="E50" s="21" t="str">
        <f aca="false">IF(B50="","",IFERROR(VLOOKUP(B50,Articles!$A$5:$B$14,2,FALSE()),"Code inconnu"))</f>
        <v/>
      </c>
    </row>
    <row r="51" customFormat="false" ht="15" hidden="false" customHeight="false" outlineLevel="0" collapsed="false">
      <c r="A51" s="5"/>
      <c r="B51" s="5"/>
      <c r="C51" s="5"/>
      <c r="D51" s="5"/>
      <c r="E51" s="21" t="str">
        <f aca="false">IF(B51="","",IFERROR(VLOOKUP(B51,Articles!$A$5:$B$14,2,FALSE()),"Code inconnu"))</f>
        <v/>
      </c>
    </row>
    <row r="52" customFormat="false" ht="15" hidden="false" customHeight="false" outlineLevel="0" collapsed="false">
      <c r="A52" s="5"/>
      <c r="B52" s="5"/>
      <c r="C52" s="5"/>
      <c r="D52" s="5"/>
      <c r="E52" s="21" t="str">
        <f aca="false">IF(B52="","",IFERROR(VLOOKUP(B52,Articles!$A$5:$B$14,2,FALSE()),"Code inconnu"))</f>
        <v/>
      </c>
    </row>
    <row r="53" customFormat="false" ht="15" hidden="false" customHeight="false" outlineLevel="0" collapsed="false">
      <c r="A53" s="5"/>
      <c r="B53" s="5"/>
      <c r="C53" s="5"/>
      <c r="D53" s="5"/>
      <c r="E53" s="21" t="str">
        <f aca="false">IF(B53="","",IFERROR(VLOOKUP(B53,Articles!$A$5:$B$14,2,FALSE()),"Code inconnu"))</f>
        <v/>
      </c>
    </row>
    <row r="54" customFormat="false" ht="15" hidden="false" customHeight="false" outlineLevel="0" collapsed="false">
      <c r="A54" s="5"/>
      <c r="B54" s="5"/>
      <c r="C54" s="5"/>
      <c r="D54" s="5"/>
      <c r="E54" s="21" t="str">
        <f aca="false">IF(B54="","",IFERROR(VLOOKUP(B54,Articles!$A$5:$B$14,2,FALSE()),"Code inconnu"))</f>
        <v/>
      </c>
    </row>
    <row r="55" customFormat="false" ht="15" hidden="false" customHeight="false" outlineLevel="0" collapsed="false">
      <c r="A55" s="5"/>
      <c r="B55" s="5"/>
      <c r="C55" s="5"/>
      <c r="D55" s="5"/>
      <c r="E55" s="21" t="str">
        <f aca="false">IF(B55="","",IFERROR(VLOOKUP(B55,Articles!$A$5:$B$14,2,FALSE()),"Code inconnu"))</f>
        <v/>
      </c>
    </row>
    <row r="56" customFormat="false" ht="15" hidden="false" customHeight="false" outlineLevel="0" collapsed="false">
      <c r="A56" s="5"/>
      <c r="B56" s="5"/>
      <c r="C56" s="5"/>
      <c r="D56" s="5"/>
      <c r="E56" s="21" t="str">
        <f aca="false">IF(B56="","",IFERROR(VLOOKUP(B56,Articles!$A$5:$B$14,2,FALSE()),"Code inconnu"))</f>
        <v/>
      </c>
    </row>
    <row r="57" customFormat="false" ht="15" hidden="false" customHeight="false" outlineLevel="0" collapsed="false">
      <c r="A57" s="5"/>
      <c r="B57" s="5"/>
      <c r="C57" s="5"/>
      <c r="D57" s="5"/>
      <c r="E57" s="21" t="str">
        <f aca="false">IF(B57="","",IFERROR(VLOOKUP(B57,Articles!$A$5:$B$14,2,FALSE()),"Code inconnu"))</f>
        <v/>
      </c>
    </row>
    <row r="58" customFormat="false" ht="15" hidden="false" customHeight="false" outlineLevel="0" collapsed="false">
      <c r="A58" s="5"/>
      <c r="B58" s="5"/>
      <c r="C58" s="5"/>
      <c r="D58" s="5"/>
      <c r="E58" s="21" t="str">
        <f aca="false">IF(B58="","",IFERROR(VLOOKUP(B58,Articles!$A$5:$B$14,2,FALSE()),"Code inconnu"))</f>
        <v/>
      </c>
    </row>
    <row r="59" customFormat="false" ht="15" hidden="false" customHeight="false" outlineLevel="0" collapsed="false">
      <c r="A59" s="5"/>
      <c r="B59" s="5"/>
      <c r="C59" s="5"/>
      <c r="D59" s="5"/>
      <c r="E59" s="21" t="str">
        <f aca="false">IF(B59="","",IFERROR(VLOOKUP(B59,Articles!$A$5:$B$14,2,FALSE()),"Code inconnu"))</f>
        <v/>
      </c>
    </row>
    <row r="60" customFormat="false" ht="15" hidden="false" customHeight="false" outlineLevel="0" collapsed="false">
      <c r="A60" s="5"/>
      <c r="B60" s="5"/>
      <c r="C60" s="5"/>
      <c r="D60" s="5"/>
      <c r="E60" s="21" t="str">
        <f aca="false">IF(B60="","",IFERROR(VLOOKUP(B60,Articles!$A$5:$B$14,2,FALSE()),"Code inconnu"))</f>
        <v/>
      </c>
    </row>
    <row r="61" customFormat="false" ht="15" hidden="false" customHeight="false" outlineLevel="0" collapsed="false">
      <c r="A61" s="5"/>
      <c r="B61" s="5"/>
      <c r="C61" s="5"/>
      <c r="D61" s="5"/>
      <c r="E61" s="21" t="str">
        <f aca="false">IF(B61="","",IFERROR(VLOOKUP(B61,Articles!$A$5:$B$14,2,FALSE()),"Code inconnu"))</f>
        <v/>
      </c>
    </row>
    <row r="62" customFormat="false" ht="15" hidden="false" customHeight="false" outlineLevel="0" collapsed="false">
      <c r="A62" s="5"/>
      <c r="B62" s="5"/>
      <c r="C62" s="5"/>
      <c r="D62" s="5"/>
      <c r="E62" s="21" t="str">
        <f aca="false">IF(B62="","",IFERROR(VLOOKUP(B62,Articles!$A$5:$B$14,2,FALSE()),"Code inconnu"))</f>
        <v/>
      </c>
    </row>
    <row r="63" customFormat="false" ht="15" hidden="false" customHeight="false" outlineLevel="0" collapsed="false">
      <c r="A63" s="5"/>
      <c r="B63" s="5"/>
      <c r="C63" s="5"/>
      <c r="D63" s="5"/>
      <c r="E63" s="21" t="str">
        <f aca="false">IF(B63="","",IFERROR(VLOOKUP(B63,Articles!$A$5:$B$14,2,FALSE()),"Code inconnu"))</f>
        <v/>
      </c>
    </row>
    <row r="64" customFormat="false" ht="15" hidden="false" customHeight="false" outlineLevel="0" collapsed="false">
      <c r="A64" s="5"/>
      <c r="B64" s="5"/>
      <c r="C64" s="5"/>
      <c r="D64" s="5"/>
      <c r="E64" s="21" t="str">
        <f aca="false">IF(B64="","",IFERROR(VLOOKUP(B64,Articles!$A$5:$B$14,2,FALSE()),"Code inconnu"))</f>
        <v/>
      </c>
    </row>
    <row r="65" customFormat="false" ht="15" hidden="false" customHeight="false" outlineLevel="0" collapsed="false">
      <c r="A65" s="5"/>
      <c r="B65" s="5"/>
      <c r="C65" s="5"/>
      <c r="D65" s="5"/>
      <c r="E65" s="21" t="str">
        <f aca="false">IF(B65="","",IFERROR(VLOOKUP(B65,Articles!$A$5:$B$14,2,FALSE()),"Code inconnu"))</f>
        <v/>
      </c>
    </row>
    <row r="66" customFormat="false" ht="15" hidden="false" customHeight="false" outlineLevel="0" collapsed="false">
      <c r="A66" s="5"/>
      <c r="B66" s="5"/>
      <c r="C66" s="5"/>
      <c r="D66" s="5"/>
      <c r="E66" s="21" t="str">
        <f aca="false">IF(B66="","",IFERROR(VLOOKUP(B66,Articles!$A$5:$B$14,2,FALSE()),"Code inconnu"))</f>
        <v/>
      </c>
    </row>
    <row r="67" customFormat="false" ht="15" hidden="false" customHeight="false" outlineLevel="0" collapsed="false">
      <c r="A67" s="5"/>
      <c r="B67" s="5"/>
      <c r="C67" s="5"/>
      <c r="D67" s="5"/>
      <c r="E67" s="21" t="str">
        <f aca="false">IF(B67="","",IFERROR(VLOOKUP(B67,Articles!$A$5:$B$14,2,FALSE()),"Code inconnu"))</f>
        <v/>
      </c>
    </row>
    <row r="68" customFormat="false" ht="15" hidden="false" customHeight="false" outlineLevel="0" collapsed="false">
      <c r="A68" s="5"/>
      <c r="B68" s="5"/>
      <c r="C68" s="5"/>
      <c r="D68" s="5"/>
      <c r="E68" s="21" t="str">
        <f aca="false">IF(B68="","",IFERROR(VLOOKUP(B68,Articles!$A$5:$B$14,2,FALSE()),"Code inconnu"))</f>
        <v/>
      </c>
    </row>
    <row r="69" customFormat="false" ht="15" hidden="false" customHeight="false" outlineLevel="0" collapsed="false">
      <c r="A69" s="5"/>
      <c r="B69" s="5"/>
      <c r="C69" s="5"/>
      <c r="D69" s="5"/>
      <c r="E69" s="21" t="str">
        <f aca="false">IF(B69="","",IFERROR(VLOOKUP(B69,Articles!$A$5:$B$14,2,FALSE()),"Code inconnu"))</f>
        <v/>
      </c>
    </row>
    <row r="70" customFormat="false" ht="15" hidden="false" customHeight="false" outlineLevel="0" collapsed="false">
      <c r="A70" s="5"/>
      <c r="B70" s="5"/>
      <c r="C70" s="5"/>
      <c r="D70" s="5"/>
      <c r="E70" s="21" t="str">
        <f aca="false">IF(B70="","",IFERROR(VLOOKUP(B70,Articles!$A$5:$B$14,2,FALSE()),"Code inconnu"))</f>
        <v/>
      </c>
    </row>
    <row r="71" customFormat="false" ht="15" hidden="false" customHeight="false" outlineLevel="0" collapsed="false">
      <c r="A71" s="5"/>
      <c r="B71" s="5"/>
      <c r="C71" s="5"/>
      <c r="D71" s="5"/>
      <c r="E71" s="21" t="str">
        <f aca="false">IF(B71="","",IFERROR(VLOOKUP(B71,Articles!$A$5:$B$14,2,FALSE()),"Code inconnu"))</f>
        <v/>
      </c>
    </row>
    <row r="72" customFormat="false" ht="15" hidden="false" customHeight="false" outlineLevel="0" collapsed="false">
      <c r="A72" s="5"/>
      <c r="B72" s="5"/>
      <c r="C72" s="5"/>
      <c r="D72" s="5"/>
      <c r="E72" s="21" t="str">
        <f aca="false">IF(B72="","",IFERROR(VLOOKUP(B72,Articles!$A$5:$B$14,2,FALSE()),"Code inconnu"))</f>
        <v/>
      </c>
    </row>
    <row r="73" customFormat="false" ht="15" hidden="false" customHeight="false" outlineLevel="0" collapsed="false">
      <c r="A73" s="5"/>
      <c r="B73" s="5"/>
      <c r="C73" s="5"/>
      <c r="D73" s="5"/>
      <c r="E73" s="21" t="str">
        <f aca="false">IF(B73="","",IFERROR(VLOOKUP(B73,Articles!$A$5:$B$14,2,FALSE()),"Code inconnu"))</f>
        <v/>
      </c>
    </row>
    <row r="74" customFormat="false" ht="15" hidden="false" customHeight="false" outlineLevel="0" collapsed="false">
      <c r="A74" s="5"/>
      <c r="B74" s="5"/>
      <c r="C74" s="5"/>
      <c r="D74" s="5"/>
      <c r="E74" s="21" t="str">
        <f aca="false">IF(B74="","",IFERROR(VLOOKUP(B74,Articles!$A$5:$B$14,2,FALSE()),"Code inconnu"))</f>
        <v/>
      </c>
    </row>
    <row r="75" customFormat="false" ht="15" hidden="false" customHeight="false" outlineLevel="0" collapsed="false">
      <c r="A75" s="5"/>
      <c r="B75" s="5"/>
      <c r="C75" s="5"/>
      <c r="D75" s="5"/>
      <c r="E75" s="21" t="str">
        <f aca="false">IF(B75="","",IFERROR(VLOOKUP(B75,Articles!$A$5:$B$14,2,FALSE()),"Code inconnu"))</f>
        <v/>
      </c>
    </row>
    <row r="76" customFormat="false" ht="15" hidden="false" customHeight="false" outlineLevel="0" collapsed="false">
      <c r="A76" s="5"/>
      <c r="B76" s="5"/>
      <c r="C76" s="5"/>
      <c r="D76" s="5"/>
      <c r="E76" s="21" t="str">
        <f aca="false">IF(B76="","",IFERROR(VLOOKUP(B76,Articles!$A$5:$B$14,2,FALSE()),"Code inconnu"))</f>
        <v/>
      </c>
    </row>
    <row r="77" customFormat="false" ht="15" hidden="false" customHeight="false" outlineLevel="0" collapsed="false">
      <c r="A77" s="5"/>
      <c r="B77" s="5"/>
      <c r="C77" s="5"/>
      <c r="D77" s="5"/>
      <c r="E77" s="21" t="str">
        <f aca="false">IF(B77="","",IFERROR(VLOOKUP(B77,Articles!$A$5:$B$14,2,FALSE()),"Code inconnu"))</f>
        <v/>
      </c>
    </row>
    <row r="78" customFormat="false" ht="15" hidden="false" customHeight="false" outlineLevel="0" collapsed="false">
      <c r="A78" s="5"/>
      <c r="B78" s="5"/>
      <c r="C78" s="5"/>
      <c r="D78" s="5"/>
      <c r="E78" s="21" t="str">
        <f aca="false">IF(B78="","",IFERROR(VLOOKUP(B78,Articles!$A$5:$B$14,2,FALSE()),"Code inconnu"))</f>
        <v/>
      </c>
    </row>
    <row r="79" customFormat="false" ht="15" hidden="false" customHeight="false" outlineLevel="0" collapsed="false">
      <c r="A79" s="5"/>
      <c r="B79" s="5"/>
      <c r="C79" s="5"/>
      <c r="D79" s="5"/>
      <c r="E79" s="21" t="str">
        <f aca="false">IF(B79="","",IFERROR(VLOOKUP(B79,Articles!$A$5:$B$14,2,FALSE()),"Code inconnu"))</f>
        <v/>
      </c>
    </row>
    <row r="80" customFormat="false" ht="15" hidden="false" customHeight="false" outlineLevel="0" collapsed="false">
      <c r="A80" s="5"/>
      <c r="B80" s="5"/>
      <c r="C80" s="5"/>
      <c r="D80" s="5"/>
      <c r="E80" s="21" t="str">
        <f aca="false">IF(B80="","",IFERROR(VLOOKUP(B80,Articles!$A$5:$B$14,2,FALSE()),"Code inconnu"))</f>
        <v/>
      </c>
    </row>
    <row r="81" customFormat="false" ht="15" hidden="false" customHeight="false" outlineLevel="0" collapsed="false">
      <c r="A81" s="5"/>
      <c r="B81" s="5"/>
      <c r="C81" s="5"/>
      <c r="D81" s="5"/>
      <c r="E81" s="21" t="str">
        <f aca="false">IF(B81="","",IFERROR(VLOOKUP(B81,Articles!$A$5:$B$14,2,FALSE()),"Code inconnu"))</f>
        <v/>
      </c>
    </row>
    <row r="82" customFormat="false" ht="15" hidden="false" customHeight="false" outlineLevel="0" collapsed="false">
      <c r="A82" s="5"/>
      <c r="B82" s="5"/>
      <c r="C82" s="5"/>
      <c r="D82" s="5"/>
      <c r="E82" s="21" t="str">
        <f aca="false">IF(B82="","",IFERROR(VLOOKUP(B82,Articles!$A$5:$B$14,2,FALSE()),"Code inconnu"))</f>
        <v/>
      </c>
    </row>
    <row r="83" customFormat="false" ht="15" hidden="false" customHeight="false" outlineLevel="0" collapsed="false">
      <c r="A83" s="5"/>
      <c r="B83" s="5"/>
      <c r="C83" s="5"/>
      <c r="D83" s="5"/>
      <c r="E83" s="21" t="str">
        <f aca="false">IF(B83="","",IFERROR(VLOOKUP(B83,Articles!$A$5:$B$14,2,FALSE()),"Code inconnu"))</f>
        <v/>
      </c>
    </row>
    <row r="84" customFormat="false" ht="15" hidden="false" customHeight="false" outlineLevel="0" collapsed="false">
      <c r="A84" s="5"/>
      <c r="B84" s="5"/>
      <c r="C84" s="5"/>
      <c r="D84" s="5"/>
      <c r="E84" s="21" t="str">
        <f aca="false">IF(B84="","",IFERROR(VLOOKUP(B84,Articles!$A$5:$B$14,2,FALSE()),"Code inconnu"))</f>
        <v/>
      </c>
    </row>
    <row r="85" customFormat="false" ht="15" hidden="false" customHeight="false" outlineLevel="0" collapsed="false">
      <c r="A85" s="5"/>
      <c r="B85" s="5"/>
      <c r="C85" s="5"/>
      <c r="D85" s="5"/>
      <c r="E85" s="21" t="str">
        <f aca="false">IF(B85="","",IFERROR(VLOOKUP(B85,Articles!$A$5:$B$14,2,FALSE()),"Code inconnu"))</f>
        <v/>
      </c>
    </row>
    <row r="86" customFormat="false" ht="15" hidden="false" customHeight="false" outlineLevel="0" collapsed="false">
      <c r="A86" s="5"/>
      <c r="B86" s="5"/>
      <c r="C86" s="5"/>
      <c r="D86" s="5"/>
      <c r="E86" s="21" t="str">
        <f aca="false">IF(B86="","",IFERROR(VLOOKUP(B86,Articles!$A$5:$B$14,2,FALSE()),"Code inconnu"))</f>
        <v/>
      </c>
    </row>
    <row r="87" customFormat="false" ht="15" hidden="false" customHeight="false" outlineLevel="0" collapsed="false">
      <c r="A87" s="5"/>
      <c r="B87" s="5"/>
      <c r="C87" s="5"/>
      <c r="D87" s="5"/>
      <c r="E87" s="21" t="str">
        <f aca="false">IF(B87="","",IFERROR(VLOOKUP(B87,Articles!$A$5:$B$14,2,FALSE()),"Code inconnu"))</f>
        <v/>
      </c>
    </row>
    <row r="88" customFormat="false" ht="15" hidden="false" customHeight="false" outlineLevel="0" collapsed="false">
      <c r="A88" s="5"/>
      <c r="B88" s="5"/>
      <c r="C88" s="5"/>
      <c r="D88" s="5"/>
      <c r="E88" s="21" t="str">
        <f aca="false">IF(B88="","",IFERROR(VLOOKUP(B88,Articles!$A$5:$B$14,2,FALSE()),"Code inconnu"))</f>
        <v/>
      </c>
    </row>
    <row r="89" customFormat="false" ht="15" hidden="false" customHeight="false" outlineLevel="0" collapsed="false">
      <c r="A89" s="5"/>
      <c r="B89" s="5"/>
      <c r="C89" s="5"/>
      <c r="D89" s="5"/>
      <c r="E89" s="21" t="str">
        <f aca="false">IF(B89="","",IFERROR(VLOOKUP(B89,Articles!$A$5:$B$14,2,FALSE()),"Code inconnu"))</f>
        <v/>
      </c>
    </row>
    <row r="90" customFormat="false" ht="15" hidden="false" customHeight="false" outlineLevel="0" collapsed="false">
      <c r="A90" s="5"/>
      <c r="B90" s="5"/>
      <c r="C90" s="5"/>
      <c r="D90" s="5"/>
      <c r="E90" s="21" t="str">
        <f aca="false">IF(B90="","",IFERROR(VLOOKUP(B90,Articles!$A$5:$B$14,2,FALSE()),"Code inconnu"))</f>
        <v/>
      </c>
    </row>
    <row r="91" customFormat="false" ht="15" hidden="false" customHeight="false" outlineLevel="0" collapsed="false">
      <c r="A91" s="5"/>
      <c r="B91" s="5"/>
      <c r="C91" s="5"/>
      <c r="D91" s="5"/>
      <c r="E91" s="21" t="str">
        <f aca="false">IF(B91="","",IFERROR(VLOOKUP(B91,Articles!$A$5:$B$14,2,FALSE()),"Code inconnu"))</f>
        <v/>
      </c>
    </row>
    <row r="92" customFormat="false" ht="15" hidden="false" customHeight="false" outlineLevel="0" collapsed="false">
      <c r="A92" s="5"/>
      <c r="B92" s="5"/>
      <c r="C92" s="5"/>
      <c r="D92" s="5"/>
      <c r="E92" s="21" t="str">
        <f aca="false">IF(B92="","",IFERROR(VLOOKUP(B92,Articles!$A$5:$B$14,2,FALSE()),"Code inconnu"))</f>
        <v/>
      </c>
    </row>
    <row r="93" customFormat="false" ht="15" hidden="false" customHeight="false" outlineLevel="0" collapsed="false">
      <c r="A93" s="5"/>
      <c r="B93" s="5"/>
      <c r="C93" s="5"/>
      <c r="D93" s="5"/>
      <c r="E93" s="21" t="str">
        <f aca="false">IF(B93="","",IFERROR(VLOOKUP(B93,Articles!$A$5:$B$14,2,FALSE()),"Code inconnu"))</f>
        <v/>
      </c>
    </row>
    <row r="94" customFormat="false" ht="15" hidden="false" customHeight="false" outlineLevel="0" collapsed="false">
      <c r="A94" s="5"/>
      <c r="B94" s="5"/>
      <c r="C94" s="5"/>
      <c r="D94" s="5"/>
      <c r="E94" s="21" t="str">
        <f aca="false">IF(B94="","",IFERROR(VLOOKUP(B94,Articles!$A$5:$B$14,2,FALSE()),"Code inconnu"))</f>
        <v/>
      </c>
    </row>
    <row r="95" customFormat="false" ht="15" hidden="false" customHeight="false" outlineLevel="0" collapsed="false">
      <c r="A95" s="5"/>
      <c r="B95" s="5"/>
      <c r="C95" s="5"/>
      <c r="D95" s="5"/>
      <c r="E95" s="21" t="str">
        <f aca="false">IF(B95="","",IFERROR(VLOOKUP(B95,Articles!$A$5:$B$14,2,FALSE()),"Code inconnu"))</f>
        <v/>
      </c>
    </row>
    <row r="96" customFormat="false" ht="15" hidden="false" customHeight="false" outlineLevel="0" collapsed="false">
      <c r="A96" s="5"/>
      <c r="B96" s="5"/>
      <c r="C96" s="5"/>
      <c r="D96" s="5"/>
      <c r="E96" s="21" t="str">
        <f aca="false">IF(B96="","",IFERROR(VLOOKUP(B96,Articles!$A$5:$B$14,2,FALSE()),"Code inconnu"))</f>
        <v/>
      </c>
    </row>
    <row r="97" customFormat="false" ht="15" hidden="false" customHeight="false" outlineLevel="0" collapsed="false">
      <c r="A97" s="5"/>
      <c r="B97" s="5"/>
      <c r="C97" s="5"/>
      <c r="D97" s="5"/>
      <c r="E97" s="21" t="str">
        <f aca="false">IF(B97="","",IFERROR(VLOOKUP(B97,Articles!$A$5:$B$14,2,FALSE()),"Code inconnu"))</f>
        <v/>
      </c>
    </row>
    <row r="98" customFormat="false" ht="15" hidden="false" customHeight="false" outlineLevel="0" collapsed="false">
      <c r="A98" s="5"/>
      <c r="B98" s="5"/>
      <c r="C98" s="5"/>
      <c r="D98" s="5"/>
      <c r="E98" s="21" t="str">
        <f aca="false">IF(B98="","",IFERROR(VLOOKUP(B98,Articles!$A$5:$B$14,2,FALSE()),"Code inconnu"))</f>
        <v/>
      </c>
    </row>
    <row r="99" customFormat="false" ht="15" hidden="false" customHeight="false" outlineLevel="0" collapsed="false">
      <c r="A99" s="5"/>
      <c r="B99" s="5"/>
      <c r="C99" s="5"/>
      <c r="D99" s="5"/>
      <c r="E99" s="21" t="str">
        <f aca="false">IF(B99="","",IFERROR(VLOOKUP(B99,Articles!$A$5:$B$14,2,FALSE()),"Code inconnu"))</f>
        <v/>
      </c>
    </row>
    <row r="100" customFormat="false" ht="15" hidden="false" customHeight="false" outlineLevel="0" collapsed="false">
      <c r="A100" s="5"/>
      <c r="B100" s="5"/>
      <c r="C100" s="5"/>
      <c r="D100" s="5"/>
      <c r="E100" s="21" t="str">
        <f aca="false">IF(B100="","",IFERROR(VLOOKUP(B100,Articles!$A$5:$B$14,2,FALSE()),"Code inconnu"))</f>
        <v/>
      </c>
    </row>
    <row r="101" customFormat="false" ht="15" hidden="false" customHeight="false" outlineLevel="0" collapsed="false">
      <c r="A101" s="5"/>
      <c r="B101" s="5"/>
      <c r="C101" s="5"/>
      <c r="D101" s="5"/>
      <c r="E101" s="21" t="str">
        <f aca="false">IF(B101="","",IFERROR(VLOOKUP(B101,Articles!$A$5:$B$14,2,FALSE()),"Code inconnu"))</f>
        <v/>
      </c>
    </row>
    <row r="102" customFormat="false" ht="15" hidden="false" customHeight="false" outlineLevel="0" collapsed="false">
      <c r="A102" s="5"/>
      <c r="B102" s="5"/>
      <c r="C102" s="5"/>
      <c r="D102" s="5"/>
      <c r="E102" s="21" t="str">
        <f aca="false">IF(B102="","",IFERROR(VLOOKUP(B102,Articles!$A$5:$B$14,2,FALSE()),"Code inconnu"))</f>
        <v/>
      </c>
    </row>
    <row r="103" customFormat="false" ht="15" hidden="false" customHeight="false" outlineLevel="0" collapsed="false">
      <c r="A103" s="5"/>
      <c r="B103" s="5"/>
      <c r="C103" s="5"/>
      <c r="D103" s="5"/>
      <c r="E103" s="21" t="str">
        <f aca="false">IF(B103="","",IFERROR(VLOOKUP(B103,Articles!$A$5:$B$14,2,FALSE()),"Code inconnu"))</f>
        <v/>
      </c>
    </row>
    <row r="104" customFormat="false" ht="15" hidden="false" customHeight="false" outlineLevel="0" collapsed="false">
      <c r="A104" s="5"/>
      <c r="B104" s="5"/>
      <c r="C104" s="5"/>
      <c r="D104" s="5"/>
      <c r="E104" s="21" t="str">
        <f aca="false">IF(B104="","",IFERROR(VLOOKUP(B104,Articles!$A$5:$B$14,2,FALSE()),"Code inconnu"))</f>
        <v/>
      </c>
    </row>
  </sheetData>
  <mergeCells count="2">
    <mergeCell ref="A1:E1"/>
    <mergeCell ref="A2:E2"/>
  </mergeCells>
  <dataValidations count="2">
    <dataValidation allowBlank="false" errorStyle="stop" operator="between" showDropDown="false" showErrorMessage="false" showInputMessage="false" sqref="C5:C105" type="list">
      <formula1>"Entrée,Sortie"</formula1>
      <formula2>0</formula2>
    </dataValidation>
    <dataValidation allowBlank="false" errorStyle="stop" operator="between" showDropDown="false" showErrorMessage="false" showInputMessage="false" sqref="B5:B105" type="list">
      <formula1>Articles!$A$5:$A$14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2026-10-05T01:05:55Z</dcterms:created>
  <dc:creator>openpyxl</dc:creator>
  <dc:description/>
  <dc:language>en-US</dc:language>
  <cp:lastModifiedBy/>
  <dcterms:modified xsi:type="dcterms:W3CDTF">2026-10-05T01:06:01Z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