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h5 Formules" sheetId="1" state="visible" r:id="rId3"/>
    <sheet name="Ch6-7 Fonctions" sheetId="2" state="visible" r:id="rId4"/>
    <sheet name="Ch8 Recherche" sheetId="3" state="visible" r:id="rId5"/>
    <sheet name="Ch9 Texte et dates" sheetId="4" state="visible" r:id="rId6"/>
    <sheet name="Ch10-12 Donnée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<sst xmlns="http://schemas.openxmlformats.org/spreadsheetml/2006/main" count="163" uniqueCount="78">
  <si>
    <t xml:space="preserve">Chapitre 5 · Formules et références</t>
  </si>
  <si>
    <t xml:space="preserve">Calculez le total de chaque ligne, puis la TVA avec la référence absolue $F$3.  ·  CORRIGÉ : les cellules grises contiennent les solutions.</t>
  </si>
  <si>
    <t xml:space="preserve">Taux TVA :</t>
  </si>
  <si>
    <t xml:space="preserve">Produit</t>
  </si>
  <si>
    <t xml:space="preserve">Prix</t>
  </si>
  <si>
    <t xml:space="preserve">Quantité</t>
  </si>
  <si>
    <t xml:space="preserve">Total HT</t>
  </si>
  <si>
    <t xml:space="preserve">TVA</t>
  </si>
  <si>
    <t xml:space="preserve">Total TTC</t>
  </si>
  <si>
    <t xml:space="preserve">Cahier</t>
  </si>
  <si>
    <t xml:space="preserve">Stylo</t>
  </si>
  <si>
    <t xml:space="preserve">Classeur</t>
  </si>
  <si>
    <t xml:space="preserve">Agenda</t>
  </si>
  <si>
    <t xml:space="preserve">Trousse</t>
  </si>
  <si>
    <t xml:space="preserve">Solution : D6 =B6*C6 · E6 =D6*$F$3 · F6 =D6+E6, puis recopiez vers le bas.</t>
  </si>
  <si>
    <t xml:space="preserve">Chapitres 6 et 7 · Fonctions</t>
  </si>
  <si>
    <t xml:space="preserve">Utilisez SOMME, MOYENNE, MAX, MIN, NB.SI, SI et SOMME.SI sur ces données.  ·  CORRIGÉ : les cellules grises contiennent les solutions.</t>
  </si>
  <si>
    <t xml:space="preserve">Employé</t>
  </si>
  <si>
    <t xml:space="preserve">Service</t>
  </si>
  <si>
    <t xml:space="preserve">Ventes T1</t>
  </si>
  <si>
    <t xml:space="preserve">Ventes T2</t>
  </si>
  <si>
    <t xml:space="preserve">Objectif atteint ?</t>
  </si>
  <si>
    <t xml:space="preserve">Ali</t>
  </si>
  <si>
    <t xml:space="preserve">Commercial</t>
  </si>
  <si>
    <t xml:space="preserve">Fatima</t>
  </si>
  <si>
    <t xml:space="preserve">Hamza</t>
  </si>
  <si>
    <t xml:space="preserve">Marketing</t>
  </si>
  <si>
    <t xml:space="preserve">Salma</t>
  </si>
  <si>
    <t xml:space="preserve">Youssef</t>
  </si>
  <si>
    <t xml:space="preserve">Asma</t>
  </si>
  <si>
    <t xml:space="preserve">Total T1 (SOMME)</t>
  </si>
  <si>
    <t xml:space="preserve">Moyenne T2 (MOYENNE)</t>
  </si>
  <si>
    <t xml:space="preserve">Meilleure vente T2 (MAX)</t>
  </si>
  <si>
    <t xml:space="preserve">Employés du service Commercial (NB.SI)</t>
  </si>
  <si>
    <t xml:space="preserve">Ventes T1 du Marketing (SOMME.SI)</t>
  </si>
  <si>
    <t xml:space="preserve">Objectif : « Oui » si T2 ≥ 100 000 (SI)</t>
  </si>
  <si>
    <t xml:space="preserve">Chapitre 8 · Recherche</t>
  </si>
  <si>
    <t xml:space="preserve">Tapez un code en B13 et retrouvez le nom et le prix avec RECHERCHEV ou INDEX/EQUIV.  ·  CORRIGÉ : les cellules grises contiennent les solutions.</t>
  </si>
  <si>
    <t xml:space="preserve">Code</t>
  </si>
  <si>
    <t xml:space="preserve">Stock</t>
  </si>
  <si>
    <t xml:space="preserve">P001</t>
  </si>
  <si>
    <t xml:space="preserve">P002</t>
  </si>
  <si>
    <t xml:space="preserve">P003</t>
  </si>
  <si>
    <t xml:space="preserve">P004</t>
  </si>
  <si>
    <t xml:space="preserve">Ramette A4</t>
  </si>
  <si>
    <t xml:space="preserve">P005</t>
  </si>
  <si>
    <t xml:space="preserve">P006</t>
  </si>
  <si>
    <t xml:space="preserve">Calculatrice</t>
  </si>
  <si>
    <t xml:space="preserve">Code cherché :</t>
  </si>
  <si>
    <t xml:space="preserve">Produit :</t>
  </si>
  <si>
    <t xml:space="preserve">Prix :</t>
  </si>
  <si>
    <t xml:space="preserve">Variante :</t>
  </si>
  <si>
    <t xml:space="preserve">Solution : =RECHERCHEV(B13;A5:D10;2;FAUX) puis colonne 3 pour le prix.</t>
  </si>
  <si>
    <t xml:space="preserve">Chapitre 9 · Texte et dates</t>
  </si>
  <si>
    <t xml:space="preserve">Nettoyez les noms (SUPPRESPACE, NOMPROPRE), séparez-les, et calculez l’âge avec DATEDIF.  ·  CORRIGÉ : les cellules grises contiennent les solutions.</t>
  </si>
  <si>
    <t xml:space="preserve">Nom complet (brut)</t>
  </si>
  <si>
    <t xml:space="preserve">Nom nettoyé</t>
  </si>
  <si>
    <t xml:space="preserve">Prénom</t>
  </si>
  <si>
    <t xml:space="preserve">Date de naissance</t>
  </si>
  <si>
    <t xml:space="preserve">Âge</t>
  </si>
  <si>
    <t xml:space="preserve">  sami   EXEMPLE </t>
  </si>
  <si>
    <t xml:space="preserve">lina exemple</t>
  </si>
  <si>
    <t xml:space="preserve">OMAR  exemple</t>
  </si>
  <si>
    <t xml:space="preserve"> nour Exemple</t>
  </si>
  <si>
    <t xml:space="preserve">Chapitres 10 à 12 · Tableau, filtres, graphique, TCD</t>
  </si>
  <si>
    <t xml:space="preserve">Transformez ces données en tableau (Ctrl+T), filtrez, puis créez un graphique et un tableau croisé dynamique.  ·  CORRIGÉ : les cellules grises contiennent les solutions.</t>
  </si>
  <si>
    <t xml:space="preserve">Date</t>
  </si>
  <si>
    <t xml:space="preserve">Ville</t>
  </si>
  <si>
    <t xml:space="preserve">Montant</t>
  </si>
  <si>
    <t xml:space="preserve">Oran</t>
  </si>
  <si>
    <t xml:space="preserve">Jus</t>
  </si>
  <si>
    <t xml:space="preserve">Alger</t>
  </si>
  <si>
    <t xml:space="preserve">Eau</t>
  </si>
  <si>
    <t xml:space="preserve">Rabat</t>
  </si>
  <si>
    <t xml:space="preserve">Café</t>
  </si>
  <si>
    <t xml:space="preserve">Tunis</t>
  </si>
  <si>
    <t xml:space="preserve">Thé</t>
  </si>
  <si>
    <t xml:space="preserve">Casablanca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</si>
</sst>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%"/>
    <numFmt numFmtId="166" formatCode="#,##0.00"/>
    <numFmt numFmtId="167" formatCode="0"/>
    <numFmt numFmtId="168" formatCode="dd/mm/yyyy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9"/>
      <color rgb="FF7F6000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i val="true"/>
      <sz val="9"/>
      <color rgb="FF7F7F7F"/>
      <name val="Arial"/>
      <family val="0"/>
      <charset val="1"/>
    </font>
    <font>
      <sz val="1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0E3B24"/>
        <bgColor rgb="FF333333"/>
      </patternFill>
    </fill>
    <fill>
      <patternFill patternType="solid">
        <fgColor rgb="FFFBF3DD"/>
        <bgColor rgb="FFFFF2CC"/>
      </patternFill>
    </fill>
    <fill>
      <patternFill patternType="solid">
        <fgColor rgb="FFFFF2CC"/>
        <bgColor rgb="FFFBF3DD"/>
      </patternFill>
    </fill>
    <fill>
      <patternFill patternType="solid">
        <fgColor rgb="FF217346"/>
        <bgColor rgb="FF008080"/>
      </patternFill>
    </fill>
    <fill>
      <patternFill patternType="solid">
        <fgColor rgb="FFF2F2F2"/>
        <bgColor rgb="FFFBF3D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3" borderId="0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5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217346"/>
      <rgbColor rgb="FFBFBFBF"/>
      <rgbColor rgb="FF7F7F7F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BF3DD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E3B24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10"/>
    <col collapsed="false" customWidth="true" hidden="false" outlineLevel="0" max="6" min="4" style="0" width="12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3" customFormat="false" ht="15" hidden="false" customHeight="false" outlineLevel="0" collapsed="false">
      <c r="E3" s="0" t="s">
        <v>2</v>
      </c>
      <c r="F3" s="3" t="n">
        <v>0.19</v>
      </c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customFormat="false" ht="15" hidden="false" customHeight="false" outlineLevel="0" collapsed="false">
      <c r="A6" s="5" t="s">
        <v>9</v>
      </c>
      <c r="B6" s="6" t="n">
        <v>120</v>
      </c>
      <c r="C6" s="7" t="n">
        <v>10</v>
      </c>
      <c r="D6" s="8" t="n">
        <f aca="false">B6*C6</f>
        <v>1200</v>
      </c>
      <c r="E6" s="8" t="n">
        <f aca="false">D6*$F$3</f>
        <v>228</v>
      </c>
      <c r="F6" s="8" t="n">
        <f aca="false">D6+E6</f>
        <v>1428</v>
      </c>
    </row>
    <row r="7" customFormat="false" ht="15" hidden="false" customHeight="false" outlineLevel="0" collapsed="false">
      <c r="A7" s="5" t="s">
        <v>10</v>
      </c>
      <c r="B7" s="6" t="n">
        <v>30</v>
      </c>
      <c r="C7" s="7" t="n">
        <v>25</v>
      </c>
      <c r="D7" s="8" t="n">
        <f aca="false">B7*C7</f>
        <v>750</v>
      </c>
      <c r="E7" s="8" t="n">
        <f aca="false">D7*$F$3</f>
        <v>142.5</v>
      </c>
      <c r="F7" s="8" t="n">
        <f aca="false">D7+E7</f>
        <v>892.5</v>
      </c>
    </row>
    <row r="8" customFormat="false" ht="15" hidden="false" customHeight="false" outlineLevel="0" collapsed="false">
      <c r="A8" s="5" t="s">
        <v>11</v>
      </c>
      <c r="B8" s="6" t="n">
        <v>250</v>
      </c>
      <c r="C8" s="7" t="n">
        <v>4</v>
      </c>
      <c r="D8" s="8" t="n">
        <f aca="false">B8*C8</f>
        <v>1000</v>
      </c>
      <c r="E8" s="8" t="n">
        <f aca="false">D8*$F$3</f>
        <v>190</v>
      </c>
      <c r="F8" s="8" t="n">
        <f aca="false">D8+E8</f>
        <v>1190</v>
      </c>
    </row>
    <row r="9" customFormat="false" ht="15" hidden="false" customHeight="false" outlineLevel="0" collapsed="false">
      <c r="A9" s="5" t="s">
        <v>12</v>
      </c>
      <c r="B9" s="6" t="n">
        <v>400</v>
      </c>
      <c r="C9" s="7" t="n">
        <v>3</v>
      </c>
      <c r="D9" s="8" t="n">
        <f aca="false">B9*C9</f>
        <v>1200</v>
      </c>
      <c r="E9" s="8" t="n">
        <f aca="false">D9*$F$3</f>
        <v>228</v>
      </c>
      <c r="F9" s="8" t="n">
        <f aca="false">D9+E9</f>
        <v>1428</v>
      </c>
    </row>
    <row r="10" customFormat="false" ht="15" hidden="false" customHeight="false" outlineLevel="0" collapsed="false">
      <c r="A10" s="5" t="s">
        <v>13</v>
      </c>
      <c r="B10" s="6" t="n">
        <v>350</v>
      </c>
      <c r="C10" s="7" t="n">
        <v>6</v>
      </c>
      <c r="D10" s="8" t="n">
        <f aca="false">B10*C10</f>
        <v>2100</v>
      </c>
      <c r="E10" s="8" t="n">
        <f aca="false">D10*$F$3</f>
        <v>399</v>
      </c>
      <c r="F10" s="8" t="n">
        <f aca="false">D10+E10</f>
        <v>2499</v>
      </c>
    </row>
    <row r="12" customFormat="false" ht="15" hidden="false" customHeight="false" outlineLevel="0" collapsed="false">
      <c r="A12" s="9" t="s">
        <v>14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4"/>
    <col collapsed="false" customWidth="true" hidden="false" outlineLevel="0" max="4" min="3" style="0" width="13"/>
    <col collapsed="false" customWidth="true" hidden="false" outlineLevel="0" max="5" min="5" style="0" width="18"/>
  </cols>
  <sheetData>
    <row r="1" customFormat="false" ht="30" hidden="false" customHeight="true" outlineLevel="0" collapsed="false">
      <c r="A1" s="1" t="s">
        <v>15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16</v>
      </c>
      <c r="B2" s="2"/>
      <c r="C2" s="2"/>
      <c r="D2" s="2"/>
      <c r="E2" s="2"/>
    </row>
    <row r="4" customFormat="false" ht="15" hidden="false" customHeight="false" outlineLevel="0" collapsed="false">
      <c r="A4" s="4" t="s">
        <v>17</v>
      </c>
      <c r="B4" s="4" t="s">
        <v>18</v>
      </c>
      <c r="C4" s="4" t="s">
        <v>19</v>
      </c>
      <c r="D4" s="4" t="s">
        <v>20</v>
      </c>
      <c r="E4" s="4" t="s">
        <v>21</v>
      </c>
    </row>
    <row r="5" customFormat="false" ht="15" hidden="false" customHeight="false" outlineLevel="0" collapsed="false">
      <c r="A5" s="10" t="s">
        <v>22</v>
      </c>
      <c r="B5" s="10" t="s">
        <v>23</v>
      </c>
      <c r="C5" s="6" t="n">
        <v>120000</v>
      </c>
      <c r="D5" s="6" t="n">
        <v>135000</v>
      </c>
      <c r="E5" s="11" t="str">
        <f aca="false">IF(D5&gt;=100000,"Oui","Non")</f>
        <v>Oui</v>
      </c>
    </row>
    <row r="6" customFormat="false" ht="15" hidden="false" customHeight="false" outlineLevel="0" collapsed="false">
      <c r="A6" s="10" t="s">
        <v>24</v>
      </c>
      <c r="B6" s="10" t="s">
        <v>23</v>
      </c>
      <c r="C6" s="6" t="n">
        <v>98000</v>
      </c>
      <c r="D6" s="6" t="n">
        <v>87000</v>
      </c>
      <c r="E6" s="11" t="str">
        <f aca="false">IF(D6&gt;=100000,"Oui","Non")</f>
        <v>Non</v>
      </c>
    </row>
    <row r="7" customFormat="false" ht="15" hidden="false" customHeight="false" outlineLevel="0" collapsed="false">
      <c r="A7" s="10" t="s">
        <v>25</v>
      </c>
      <c r="B7" s="10" t="s">
        <v>26</v>
      </c>
      <c r="C7" s="6" t="n">
        <v>76000</v>
      </c>
      <c r="D7" s="6" t="n">
        <v>99000</v>
      </c>
      <c r="E7" s="11" t="str">
        <f aca="false">IF(D7&gt;=100000,"Oui","Non")</f>
        <v>Non</v>
      </c>
    </row>
    <row r="8" customFormat="false" ht="15" hidden="false" customHeight="false" outlineLevel="0" collapsed="false">
      <c r="A8" s="10" t="s">
        <v>27</v>
      </c>
      <c r="B8" s="10" t="s">
        <v>23</v>
      </c>
      <c r="C8" s="6" t="n">
        <v>143000</v>
      </c>
      <c r="D8" s="6" t="n">
        <v>151000</v>
      </c>
      <c r="E8" s="11" t="str">
        <f aca="false">IF(D8&gt;=100000,"Oui","Non")</f>
        <v>Oui</v>
      </c>
    </row>
    <row r="9" customFormat="false" ht="15" hidden="false" customHeight="false" outlineLevel="0" collapsed="false">
      <c r="A9" s="10" t="s">
        <v>28</v>
      </c>
      <c r="B9" s="10" t="s">
        <v>26</v>
      </c>
      <c r="C9" s="6" t="n">
        <v>54000</v>
      </c>
      <c r="D9" s="6" t="n">
        <v>61000</v>
      </c>
      <c r="E9" s="11" t="str">
        <f aca="false">IF(D9&gt;=100000,"Oui","Non")</f>
        <v>Non</v>
      </c>
    </row>
    <row r="10" customFormat="false" ht="15" hidden="false" customHeight="false" outlineLevel="0" collapsed="false">
      <c r="A10" s="10" t="s">
        <v>29</v>
      </c>
      <c r="B10" s="10" t="s">
        <v>23</v>
      </c>
      <c r="C10" s="6" t="n">
        <v>110000</v>
      </c>
      <c r="D10" s="6" t="n">
        <v>104000</v>
      </c>
      <c r="E10" s="11" t="str">
        <f aca="false">IF(D10&gt;=100000,"Oui","Non")</f>
        <v>Oui</v>
      </c>
    </row>
    <row r="12" customFormat="false" ht="15" hidden="false" customHeight="false" outlineLevel="0" collapsed="false">
      <c r="A12" s="12" t="s">
        <v>30</v>
      </c>
      <c r="D12" s="8" t="n">
        <f aca="false">SUM(C5:C10)</f>
        <v>601000</v>
      </c>
    </row>
    <row r="13" customFormat="false" ht="15" hidden="false" customHeight="false" outlineLevel="0" collapsed="false">
      <c r="A13" s="12" t="s">
        <v>31</v>
      </c>
      <c r="D13" s="8" t="n">
        <f aca="false">AVERAGE(D5:D10)</f>
        <v>106166.666666667</v>
      </c>
    </row>
    <row r="14" customFormat="false" ht="15" hidden="false" customHeight="false" outlineLevel="0" collapsed="false">
      <c r="A14" s="12" t="s">
        <v>32</v>
      </c>
      <c r="D14" s="8" t="n">
        <f aca="false">MAX(D5:D10)</f>
        <v>151000</v>
      </c>
    </row>
    <row r="15" customFormat="false" ht="15" hidden="false" customHeight="false" outlineLevel="0" collapsed="false">
      <c r="A15" s="12" t="s">
        <v>33</v>
      </c>
      <c r="D15" s="13" t="n">
        <f aca="false">COUNTIF(B5:B10,"Commercial")</f>
        <v>4</v>
      </c>
    </row>
    <row r="16" customFormat="false" ht="15" hidden="false" customHeight="false" outlineLevel="0" collapsed="false">
      <c r="A16" s="12" t="s">
        <v>34</v>
      </c>
      <c r="D16" s="8" t="n">
        <f aca="false">SUMIF(B5:B10,"Marketing",C5:C10)</f>
        <v>130000</v>
      </c>
    </row>
    <row r="17" customFormat="false" ht="15" hidden="false" customHeight="false" outlineLevel="0" collapsed="false">
      <c r="A17" s="12" t="s">
        <v>35</v>
      </c>
      <c r="D17" s="13" t="n">
        <f aca="false">COUNTIF(E5:E10,"Oui")</f>
        <v>3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2" min="1" style="0" width="16"/>
    <col collapsed="false" customWidth="true" hidden="false" outlineLevel="0" max="4" min="3" style="0" width="10"/>
  </cols>
  <sheetData>
    <row r="1" customFormat="false" ht="30" hidden="false" customHeight="true" outlineLevel="0" collapsed="false">
      <c r="A1" s="1" t="s">
        <v>36</v>
      </c>
      <c r="B1" s="1"/>
      <c r="C1" s="1"/>
      <c r="D1" s="1"/>
    </row>
    <row r="2" customFormat="false" ht="15" hidden="false" customHeight="false" outlineLevel="0" collapsed="false">
      <c r="A2" s="2" t="s">
        <v>37</v>
      </c>
      <c r="B2" s="2"/>
      <c r="C2" s="2"/>
      <c r="D2" s="2"/>
    </row>
    <row r="4" customFormat="false" ht="15" hidden="false" customHeight="false" outlineLevel="0" collapsed="false">
      <c r="A4" s="4" t="s">
        <v>38</v>
      </c>
      <c r="B4" s="4" t="s">
        <v>3</v>
      </c>
      <c r="C4" s="4" t="s">
        <v>4</v>
      </c>
      <c r="D4" s="4" t="s">
        <v>39</v>
      </c>
    </row>
    <row r="5" customFormat="false" ht="15" hidden="false" customHeight="false" outlineLevel="0" collapsed="false">
      <c r="A5" s="10" t="s">
        <v>40</v>
      </c>
      <c r="B5" s="10" t="s">
        <v>9</v>
      </c>
      <c r="C5" s="6" t="n">
        <v>120</v>
      </c>
      <c r="D5" s="10" t="n">
        <v>80</v>
      </c>
    </row>
    <row r="6" customFormat="false" ht="15" hidden="false" customHeight="false" outlineLevel="0" collapsed="false">
      <c r="A6" s="10" t="s">
        <v>41</v>
      </c>
      <c r="B6" s="10" t="s">
        <v>10</v>
      </c>
      <c r="C6" s="6" t="n">
        <v>30</v>
      </c>
      <c r="D6" s="10" t="n">
        <v>300</v>
      </c>
    </row>
    <row r="7" customFormat="false" ht="15" hidden="false" customHeight="false" outlineLevel="0" collapsed="false">
      <c r="A7" s="10" t="s">
        <v>42</v>
      </c>
      <c r="B7" s="10" t="s">
        <v>11</v>
      </c>
      <c r="C7" s="6" t="n">
        <v>250</v>
      </c>
      <c r="D7" s="10" t="n">
        <v>45</v>
      </c>
    </row>
    <row r="8" customFormat="false" ht="15" hidden="false" customHeight="false" outlineLevel="0" collapsed="false">
      <c r="A8" s="10" t="s">
        <v>43</v>
      </c>
      <c r="B8" s="10" t="s">
        <v>44</v>
      </c>
      <c r="C8" s="6" t="n">
        <v>750</v>
      </c>
      <c r="D8" s="10" t="n">
        <v>20</v>
      </c>
    </row>
    <row r="9" customFormat="false" ht="15" hidden="false" customHeight="false" outlineLevel="0" collapsed="false">
      <c r="A9" s="10" t="s">
        <v>45</v>
      </c>
      <c r="B9" s="10" t="s">
        <v>12</v>
      </c>
      <c r="C9" s="6" t="n">
        <v>400</v>
      </c>
      <c r="D9" s="10" t="n">
        <v>15</v>
      </c>
    </row>
    <row r="10" customFormat="false" ht="15" hidden="false" customHeight="false" outlineLevel="0" collapsed="false">
      <c r="A10" s="10" t="s">
        <v>46</v>
      </c>
      <c r="B10" s="10" t="s">
        <v>47</v>
      </c>
      <c r="C10" s="6" t="n">
        <v>1200</v>
      </c>
      <c r="D10" s="10" t="n">
        <v>9</v>
      </c>
    </row>
    <row r="13" customFormat="false" ht="15" hidden="false" customHeight="false" outlineLevel="0" collapsed="false">
      <c r="A13" s="0" t="s">
        <v>48</v>
      </c>
      <c r="B13" s="10" t="s">
        <v>43</v>
      </c>
    </row>
    <row r="14" customFormat="false" ht="15" hidden="false" customHeight="false" outlineLevel="0" collapsed="false">
      <c r="A14" s="0" t="s">
        <v>49</v>
      </c>
      <c r="B14" s="14" t="str">
        <f aca="false">VLOOKUP(B13,A5:D10,2,FALSE())</f>
        <v>Ramette A4</v>
      </c>
    </row>
    <row r="15" customFormat="false" ht="15" hidden="false" customHeight="false" outlineLevel="0" collapsed="false">
      <c r="A15" s="0" t="s">
        <v>50</v>
      </c>
      <c r="B15" s="8" t="n">
        <f aca="false">VLOOKUP(B13,A5:D10,3,FALSE())</f>
        <v>750</v>
      </c>
    </row>
    <row r="16" customFormat="false" ht="15" hidden="false" customHeight="false" outlineLevel="0" collapsed="false">
      <c r="A16" s="0" t="s">
        <v>51</v>
      </c>
      <c r="B16" s="14" t="str">
        <f aca="false">INDEX(B5:B10,MATCH(B13,A5:A10,0))</f>
        <v>Ramette A4</v>
      </c>
    </row>
    <row r="17" customFormat="false" ht="15" hidden="false" customHeight="false" outlineLevel="0" collapsed="false">
      <c r="A17" s="9" t="s">
        <v>52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4" min="4" style="0" width="16"/>
    <col collapsed="false" customWidth="true" hidden="false" outlineLevel="0" max="5" min="5" style="0" width="8"/>
    <col collapsed="false" customWidth="true" hidden="false" outlineLevel="0" max="6" min="6" style="0" width="10"/>
  </cols>
  <sheetData>
    <row r="1" customFormat="false" ht="30" hidden="false" customHeight="true" outlineLevel="0" collapsed="false">
      <c r="A1" s="1" t="s">
        <v>53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54</v>
      </c>
      <c r="B2" s="2"/>
      <c r="C2" s="2"/>
      <c r="D2" s="2"/>
      <c r="E2" s="2"/>
      <c r="F2" s="2"/>
    </row>
    <row r="4" customFormat="false" ht="26.85" hidden="false" customHeight="false" outlineLevel="0" collapsed="false">
      <c r="A4" s="4" t="s">
        <v>55</v>
      </c>
      <c r="B4" s="4" t="s">
        <v>56</v>
      </c>
      <c r="C4" s="4" t="s">
        <v>57</v>
      </c>
      <c r="D4" s="4" t="s">
        <v>58</v>
      </c>
      <c r="E4" s="4" t="s">
        <v>59</v>
      </c>
      <c r="F4" s="4" t="s">
        <v>38</v>
      </c>
    </row>
    <row r="5" customFormat="false" ht="15" hidden="false" customHeight="false" outlineLevel="0" collapsed="false">
      <c r="A5" s="10" t="s">
        <v>60</v>
      </c>
      <c r="B5" s="14" t="str">
        <f aca="false">PROPER(TRIM(A5))</f>
        <v>Sami Exemple</v>
      </c>
      <c r="C5" s="14" t="str">
        <f aca="false">IFERROR(LEFT(B5,FIND(" ",B5)-1),B5)</f>
        <v>Sami</v>
      </c>
      <c r="D5" s="15" t="n">
        <v>35868</v>
      </c>
      <c r="E5" s="14" t="n">
        <f aca="true">DATEDIF(D5,TODAY(),"y")</f>
        <v>28</v>
      </c>
      <c r="F5" s="14" t="str">
        <f aca="false">UPPER(LEFT(C5,3))</f>
        <v>SAM</v>
      </c>
    </row>
    <row r="6" customFormat="false" ht="15" hidden="false" customHeight="false" outlineLevel="0" collapsed="false">
      <c r="A6" s="10" t="s">
        <v>61</v>
      </c>
      <c r="B6" s="14" t="str">
        <f aca="false">PROPER(TRIM(A6))</f>
        <v>Lina Exemple</v>
      </c>
      <c r="C6" s="14" t="str">
        <f aca="false">IFERROR(LEFT(B6,FIND(" ",B6)-1),B6)</f>
        <v>Lina</v>
      </c>
      <c r="D6" s="15" t="n">
        <v>37197</v>
      </c>
      <c r="E6" s="14" t="n">
        <f aca="true">DATEDIF(D6,TODAY(),"y")</f>
        <v>24</v>
      </c>
      <c r="F6" s="14" t="str">
        <f aca="false">UPPER(LEFT(C6,3))</f>
        <v>LIN</v>
      </c>
    </row>
    <row r="7" customFormat="false" ht="15" hidden="false" customHeight="false" outlineLevel="0" collapsed="false">
      <c r="A7" s="10" t="s">
        <v>62</v>
      </c>
      <c r="B7" s="14" t="str">
        <f aca="false">PROPER(TRIM(A7))</f>
        <v>Omar Exemple</v>
      </c>
      <c r="C7" s="14" t="str">
        <f aca="false">IFERROR(LEFT(B7,FIND(" ",B7)-1),B7)</f>
        <v>Omar</v>
      </c>
      <c r="D7" s="15" t="n">
        <v>34903</v>
      </c>
      <c r="E7" s="14" t="n">
        <f aca="true">DATEDIF(D7,TODAY(),"y")</f>
        <v>31</v>
      </c>
      <c r="F7" s="14" t="str">
        <f aca="false">UPPER(LEFT(C7,3))</f>
        <v>OMA</v>
      </c>
    </row>
    <row r="8" customFormat="false" ht="15" hidden="false" customHeight="false" outlineLevel="0" collapsed="false">
      <c r="A8" s="10" t="s">
        <v>63</v>
      </c>
      <c r="B8" s="14" t="str">
        <f aca="false">PROPER(TRIM(A8))</f>
        <v>Nour Exemple</v>
      </c>
      <c r="C8" s="14" t="str">
        <f aca="false">IFERROR(LEFT(B8,FIND(" ",B8)-1),B8)</f>
        <v>Nour</v>
      </c>
      <c r="D8" s="15" t="n">
        <v>37651</v>
      </c>
      <c r="E8" s="14" t="n">
        <f aca="true">DATEDIF(D8,TODAY(),"y")</f>
        <v>23</v>
      </c>
      <c r="F8" s="14" t="str">
        <f aca="false">UPPER(LEFT(C8,3))</f>
        <v>NOU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4" min="3" style="0" width="10"/>
    <col collapsed="false" customWidth="true" hidden="false" outlineLevel="0" max="5" min="5" style="0" width="12"/>
  </cols>
  <sheetData>
    <row r="1" customFormat="false" ht="30" hidden="false" customHeight="true" outlineLevel="0" collapsed="false">
      <c r="A1" s="1" t="s">
        <v>64</v>
      </c>
      <c r="B1" s="1"/>
      <c r="C1" s="1"/>
      <c r="D1" s="1"/>
      <c r="E1" s="1"/>
    </row>
    <row r="2" customFormat="false" ht="15" hidden="false" customHeight="false" outlineLevel="0" collapsed="false">
      <c r="A2" s="2" t="s">
        <v>65</v>
      </c>
      <c r="B2" s="2"/>
      <c r="C2" s="2"/>
      <c r="D2" s="2"/>
      <c r="E2" s="2"/>
    </row>
    <row r="4" customFormat="false" ht="15" hidden="false" customHeight="false" outlineLevel="0" collapsed="false">
      <c r="A4" s="4" t="s">
        <v>66</v>
      </c>
      <c r="B4" s="4" t="s">
        <v>67</v>
      </c>
      <c r="C4" s="4" t="s">
        <v>3</v>
      </c>
      <c r="D4" s="4" t="s">
        <v>5</v>
      </c>
      <c r="E4" s="4" t="s">
        <v>68</v>
      </c>
    </row>
    <row r="5" customFormat="false" ht="15" hidden="false" customHeight="false" outlineLevel="0" collapsed="false">
      <c r="A5" s="15" t="n">
        <v>46137</v>
      </c>
      <c r="B5" s="10" t="s">
        <v>69</v>
      </c>
      <c r="C5" s="10" t="s">
        <v>70</v>
      </c>
      <c r="D5" s="7" t="n">
        <v>13</v>
      </c>
      <c r="E5" s="6" t="n">
        <v>1950</v>
      </c>
    </row>
    <row r="6" customFormat="false" ht="15" hidden="false" customHeight="false" outlineLevel="0" collapsed="false">
      <c r="A6" s="15" t="n">
        <v>46123</v>
      </c>
      <c r="B6" s="10" t="s">
        <v>71</v>
      </c>
      <c r="C6" s="10" t="s">
        <v>72</v>
      </c>
      <c r="D6" s="7" t="n">
        <v>10</v>
      </c>
      <c r="E6" s="6" t="n">
        <v>2200</v>
      </c>
    </row>
    <row r="7" customFormat="false" ht="15" hidden="false" customHeight="false" outlineLevel="0" collapsed="false">
      <c r="A7" s="15" t="n">
        <v>46199</v>
      </c>
      <c r="B7" s="10" t="s">
        <v>69</v>
      </c>
      <c r="C7" s="10" t="s">
        <v>72</v>
      </c>
      <c r="D7" s="7" t="n">
        <v>44</v>
      </c>
      <c r="E7" s="6" t="n">
        <v>9680</v>
      </c>
    </row>
    <row r="8" customFormat="false" ht="15" hidden="false" customHeight="false" outlineLevel="0" collapsed="false">
      <c r="A8" s="15" t="n">
        <v>46118</v>
      </c>
      <c r="B8" s="10" t="s">
        <v>73</v>
      </c>
      <c r="C8" s="10" t="s">
        <v>74</v>
      </c>
      <c r="D8" s="7" t="n">
        <v>7</v>
      </c>
      <c r="E8" s="6" t="n">
        <v>420</v>
      </c>
    </row>
    <row r="9" customFormat="false" ht="15" hidden="false" customHeight="false" outlineLevel="0" collapsed="false">
      <c r="A9" s="15" t="n">
        <v>46148</v>
      </c>
      <c r="B9" s="10" t="s">
        <v>75</v>
      </c>
      <c r="C9" s="10" t="s">
        <v>70</v>
      </c>
      <c r="D9" s="7" t="n">
        <v>12</v>
      </c>
      <c r="E9" s="6" t="n">
        <v>2640</v>
      </c>
    </row>
    <row r="10" customFormat="false" ht="15" hidden="false" customHeight="false" outlineLevel="0" collapsed="false">
      <c r="A10" s="15" t="n">
        <v>46077</v>
      </c>
      <c r="B10" s="10" t="s">
        <v>69</v>
      </c>
      <c r="C10" s="10" t="s">
        <v>76</v>
      </c>
      <c r="D10" s="7" t="n">
        <v>40</v>
      </c>
      <c r="E10" s="6" t="n">
        <v>6000</v>
      </c>
    </row>
    <row r="11" customFormat="false" ht="15" hidden="false" customHeight="false" outlineLevel="0" collapsed="false">
      <c r="A11" s="15" t="n">
        <v>46200</v>
      </c>
      <c r="B11" s="10" t="s">
        <v>77</v>
      </c>
      <c r="C11" s="10" t="s">
        <v>76</v>
      </c>
      <c r="D11" s="7" t="n">
        <v>29</v>
      </c>
      <c r="E11" s="6" t="n">
        <v>1740</v>
      </c>
    </row>
    <row r="12" customFormat="false" ht="15" hidden="false" customHeight="false" outlineLevel="0" collapsed="false">
      <c r="A12" s="15" t="n">
        <v>46170</v>
      </c>
      <c r="B12" s="10" t="s">
        <v>77</v>
      </c>
      <c r="C12" s="10" t="s">
        <v>72</v>
      </c>
      <c r="D12" s="7" t="n">
        <v>24</v>
      </c>
      <c r="E12" s="6" t="n">
        <v>5280</v>
      </c>
    </row>
    <row r="13" customFormat="false" ht="15" hidden="false" customHeight="false" outlineLevel="0" collapsed="false">
      <c r="A13" s="15" t="n">
        <v>46125</v>
      </c>
      <c r="B13" s="10" t="s">
        <v>77</v>
      </c>
      <c r="C13" s="10" t="s">
        <v>72</v>
      </c>
      <c r="D13" s="7" t="n">
        <v>37</v>
      </c>
      <c r="E13" s="6" t="n">
        <v>2220</v>
      </c>
    </row>
    <row r="14" customFormat="false" ht="15" hidden="false" customHeight="false" outlineLevel="0" collapsed="false">
      <c r="A14" s="15" t="n">
        <v>46054</v>
      </c>
      <c r="B14" s="10" t="s">
        <v>71</v>
      </c>
      <c r="C14" s="10" t="s">
        <v>72</v>
      </c>
      <c r="D14" s="7" t="n">
        <v>34</v>
      </c>
      <c r="E14" s="6" t="n">
        <v>7480</v>
      </c>
    </row>
    <row r="15" customFormat="false" ht="15" hidden="false" customHeight="false" outlineLevel="0" collapsed="false">
      <c r="A15" s="15" t="n">
        <v>46137</v>
      </c>
      <c r="B15" s="10" t="s">
        <v>73</v>
      </c>
      <c r="C15" s="10" t="s">
        <v>72</v>
      </c>
      <c r="D15" s="7" t="n">
        <v>58</v>
      </c>
      <c r="E15" s="6" t="n">
        <v>12760</v>
      </c>
    </row>
    <row r="16" customFormat="false" ht="15" hidden="false" customHeight="false" outlineLevel="0" collapsed="false">
      <c r="A16" s="15" t="n">
        <v>46125</v>
      </c>
      <c r="B16" s="10" t="s">
        <v>71</v>
      </c>
      <c r="C16" s="10" t="s">
        <v>76</v>
      </c>
      <c r="D16" s="7" t="n">
        <v>13</v>
      </c>
      <c r="E16" s="6" t="n">
        <v>1170</v>
      </c>
    </row>
    <row r="17" customFormat="false" ht="15" hidden="false" customHeight="false" outlineLevel="0" collapsed="false">
      <c r="A17" s="15" t="n">
        <v>46124</v>
      </c>
      <c r="B17" s="10" t="s">
        <v>71</v>
      </c>
      <c r="C17" s="10" t="s">
        <v>72</v>
      </c>
      <c r="D17" s="7" t="n">
        <v>37</v>
      </c>
      <c r="E17" s="6" t="n">
        <v>5550</v>
      </c>
    </row>
    <row r="18" customFormat="false" ht="15" hidden="false" customHeight="false" outlineLevel="0" collapsed="false">
      <c r="A18" s="15" t="n">
        <v>46043</v>
      </c>
      <c r="B18" s="10" t="s">
        <v>69</v>
      </c>
      <c r="C18" s="10" t="s">
        <v>76</v>
      </c>
      <c r="D18" s="7" t="n">
        <v>51</v>
      </c>
      <c r="E18" s="6" t="n">
        <v>4590</v>
      </c>
    </row>
    <row r="19" customFormat="false" ht="15" hidden="false" customHeight="false" outlineLevel="0" collapsed="false">
      <c r="A19" s="15" t="n">
        <v>46190</v>
      </c>
      <c r="B19" s="10" t="s">
        <v>71</v>
      </c>
      <c r="C19" s="10" t="s">
        <v>76</v>
      </c>
      <c r="D19" s="7" t="n">
        <v>53</v>
      </c>
      <c r="E19" s="6" t="n">
        <v>3180</v>
      </c>
    </row>
    <row r="20" customFormat="false" ht="15" hidden="false" customHeight="false" outlineLevel="0" collapsed="false">
      <c r="A20" s="15" t="n">
        <v>46199</v>
      </c>
      <c r="B20" s="10" t="s">
        <v>69</v>
      </c>
      <c r="C20" s="10" t="s">
        <v>76</v>
      </c>
      <c r="D20" s="7" t="n">
        <v>59</v>
      </c>
      <c r="E20" s="6" t="n">
        <v>8850</v>
      </c>
    </row>
    <row r="21" customFormat="false" ht="15" hidden="false" customHeight="false" outlineLevel="0" collapsed="false">
      <c r="A21" s="15" t="n">
        <v>46166</v>
      </c>
      <c r="B21" s="10" t="s">
        <v>71</v>
      </c>
      <c r="C21" s="10" t="s">
        <v>74</v>
      </c>
      <c r="D21" s="7" t="n">
        <v>13</v>
      </c>
      <c r="E21" s="6" t="n">
        <v>780</v>
      </c>
    </row>
    <row r="22" customFormat="false" ht="15" hidden="false" customHeight="false" outlineLevel="0" collapsed="false">
      <c r="A22" s="15" t="n">
        <v>46107</v>
      </c>
      <c r="B22" s="10" t="s">
        <v>69</v>
      </c>
      <c r="C22" s="10" t="s">
        <v>74</v>
      </c>
      <c r="D22" s="7" t="n">
        <v>9</v>
      </c>
      <c r="E22" s="6" t="n">
        <v>810</v>
      </c>
    </row>
    <row r="23" customFormat="false" ht="15" hidden="false" customHeight="false" outlineLevel="0" collapsed="false">
      <c r="A23" s="15" t="n">
        <v>46167</v>
      </c>
      <c r="B23" s="10" t="s">
        <v>77</v>
      </c>
      <c r="C23" s="10" t="s">
        <v>74</v>
      </c>
      <c r="D23" s="7" t="n">
        <v>25</v>
      </c>
      <c r="E23" s="6" t="n">
        <v>2250</v>
      </c>
    </row>
    <row r="24" customFormat="false" ht="15" hidden="false" customHeight="false" outlineLevel="0" collapsed="false">
      <c r="A24" s="15" t="n">
        <v>46117</v>
      </c>
      <c r="B24" s="10" t="s">
        <v>77</v>
      </c>
      <c r="C24" s="10" t="s">
        <v>72</v>
      </c>
      <c r="D24" s="7" t="n">
        <v>18</v>
      </c>
      <c r="E24" s="6" t="n">
        <v>1620</v>
      </c>
    </row>
    <row r="25" customFormat="false" ht="15" hidden="false" customHeight="false" outlineLevel="0" collapsed="false">
      <c r="A25" s="15" t="n">
        <v>46159</v>
      </c>
      <c r="B25" s="10" t="s">
        <v>69</v>
      </c>
      <c r="C25" s="10" t="s">
        <v>70</v>
      </c>
      <c r="D25" s="7" t="n">
        <v>28</v>
      </c>
      <c r="E25" s="6" t="n">
        <v>4200</v>
      </c>
    </row>
    <row r="26" customFormat="false" ht="15" hidden="false" customHeight="false" outlineLevel="0" collapsed="false">
      <c r="A26" s="15" t="n">
        <v>46059</v>
      </c>
      <c r="B26" s="10" t="s">
        <v>75</v>
      </c>
      <c r="C26" s="10" t="s">
        <v>74</v>
      </c>
      <c r="D26" s="7" t="n">
        <v>45</v>
      </c>
      <c r="E26" s="6" t="n">
        <v>4050</v>
      </c>
    </row>
    <row r="27" customFormat="false" ht="15" hidden="false" customHeight="false" outlineLevel="0" collapsed="false">
      <c r="A27" s="15" t="n">
        <v>46184</v>
      </c>
      <c r="B27" s="10" t="s">
        <v>75</v>
      </c>
      <c r="C27" s="10" t="s">
        <v>74</v>
      </c>
      <c r="D27" s="7" t="n">
        <v>55</v>
      </c>
      <c r="E27" s="6" t="n">
        <v>4950</v>
      </c>
    </row>
    <row r="28" customFormat="false" ht="15" hidden="false" customHeight="false" outlineLevel="0" collapsed="false">
      <c r="A28" s="15" t="n">
        <v>46047</v>
      </c>
      <c r="B28" s="10" t="s">
        <v>73</v>
      </c>
      <c r="C28" s="10" t="s">
        <v>76</v>
      </c>
      <c r="D28" s="7" t="n">
        <v>45</v>
      </c>
      <c r="E28" s="6" t="n">
        <v>4050</v>
      </c>
    </row>
    <row r="29" customFormat="false" ht="15" hidden="false" customHeight="false" outlineLevel="0" collapsed="false">
      <c r="A29" s="15" t="n">
        <v>46130</v>
      </c>
      <c r="B29" s="10" t="s">
        <v>73</v>
      </c>
      <c r="C29" s="10" t="s">
        <v>76</v>
      </c>
      <c r="D29" s="7" t="n">
        <v>21</v>
      </c>
      <c r="E29" s="6" t="n">
        <v>1260</v>
      </c>
    </row>
    <row r="30" customFormat="false" ht="15" hidden="false" customHeight="false" outlineLevel="0" collapsed="false">
      <c r="A30" s="15" t="n">
        <v>46199</v>
      </c>
      <c r="B30" s="10" t="s">
        <v>77</v>
      </c>
      <c r="C30" s="10" t="s">
        <v>70</v>
      </c>
      <c r="D30" s="7" t="n">
        <v>29</v>
      </c>
      <c r="E30" s="6" t="n">
        <v>2610</v>
      </c>
    </row>
    <row r="31" customFormat="false" ht="15" hidden="false" customHeight="false" outlineLevel="0" collapsed="false">
      <c r="A31" s="15" t="n">
        <v>46147</v>
      </c>
      <c r="B31" s="10" t="s">
        <v>77</v>
      </c>
      <c r="C31" s="10" t="s">
        <v>70</v>
      </c>
      <c r="D31" s="7" t="n">
        <v>53</v>
      </c>
      <c r="E31" s="6" t="n">
        <v>7950</v>
      </c>
    </row>
    <row r="32" customFormat="false" ht="15" hidden="false" customHeight="false" outlineLevel="0" collapsed="false">
      <c r="A32" s="15" t="n">
        <v>46120</v>
      </c>
      <c r="B32" s="10" t="s">
        <v>69</v>
      </c>
      <c r="C32" s="10" t="s">
        <v>76</v>
      </c>
      <c r="D32" s="7" t="n">
        <v>23</v>
      </c>
      <c r="E32" s="6" t="n">
        <v>2070</v>
      </c>
    </row>
    <row r="33" customFormat="false" ht="15" hidden="false" customHeight="false" outlineLevel="0" collapsed="false">
      <c r="A33" s="15" t="n">
        <v>46102</v>
      </c>
      <c r="B33" s="10" t="s">
        <v>73</v>
      </c>
      <c r="C33" s="10" t="s">
        <v>70</v>
      </c>
      <c r="D33" s="7" t="n">
        <v>51</v>
      </c>
      <c r="E33" s="6" t="n">
        <v>7650</v>
      </c>
    </row>
    <row r="34" customFormat="false" ht="15" hidden="false" customHeight="false" outlineLevel="0" collapsed="false">
      <c r="A34" s="15" t="n">
        <v>46175</v>
      </c>
      <c r="B34" s="10" t="s">
        <v>69</v>
      </c>
      <c r="C34" s="10" t="s">
        <v>74</v>
      </c>
      <c r="D34" s="7" t="n">
        <v>23</v>
      </c>
      <c r="E34" s="6" t="n">
        <v>1380</v>
      </c>
    </row>
    <row r="35" customFormat="false" ht="15" hidden="false" customHeight="false" outlineLevel="0" collapsed="false">
      <c r="A35" s="15" t="n">
        <v>46129</v>
      </c>
      <c r="B35" s="10" t="s">
        <v>77</v>
      </c>
      <c r="C35" s="10" t="s">
        <v>76</v>
      </c>
      <c r="D35" s="7" t="n">
        <v>13</v>
      </c>
      <c r="E35" s="6" t="n">
        <v>780</v>
      </c>
    </row>
    <row r="36" customFormat="false" ht="15" hidden="false" customHeight="false" outlineLevel="0" collapsed="false">
      <c r="A36" s="15" t="n">
        <v>46073</v>
      </c>
      <c r="B36" s="10" t="s">
        <v>71</v>
      </c>
      <c r="C36" s="10" t="s">
        <v>76</v>
      </c>
      <c r="D36" s="7" t="n">
        <v>8</v>
      </c>
      <c r="E36" s="6" t="n">
        <v>1200</v>
      </c>
    </row>
    <row r="37" customFormat="false" ht="15" hidden="false" customHeight="false" outlineLevel="0" collapsed="false">
      <c r="A37" s="15" t="n">
        <v>46154</v>
      </c>
      <c r="B37" s="10" t="s">
        <v>77</v>
      </c>
      <c r="C37" s="10" t="s">
        <v>76</v>
      </c>
      <c r="D37" s="7" t="n">
        <v>38</v>
      </c>
      <c r="E37" s="6" t="n">
        <v>3420</v>
      </c>
    </row>
    <row r="38" customFormat="false" ht="15" hidden="false" customHeight="false" outlineLevel="0" collapsed="false">
      <c r="A38" s="15" t="n">
        <v>46150</v>
      </c>
      <c r="B38" s="10" t="s">
        <v>75</v>
      </c>
      <c r="C38" s="10" t="s">
        <v>70</v>
      </c>
      <c r="D38" s="7" t="n">
        <v>42</v>
      </c>
      <c r="E38" s="6" t="n">
        <v>9240</v>
      </c>
    </row>
    <row r="39" customFormat="false" ht="15" hidden="false" customHeight="false" outlineLevel="0" collapsed="false">
      <c r="A39" s="15" t="n">
        <v>46065</v>
      </c>
      <c r="B39" s="10" t="s">
        <v>73</v>
      </c>
      <c r="C39" s="10" t="s">
        <v>72</v>
      </c>
      <c r="D39" s="7" t="n">
        <v>15</v>
      </c>
      <c r="E39" s="6" t="n">
        <v>3300</v>
      </c>
    </row>
    <row r="40" customFormat="false" ht="15" hidden="false" customHeight="false" outlineLevel="0" collapsed="false">
      <c r="A40" s="15" t="n">
        <v>46048</v>
      </c>
      <c r="B40" s="10" t="s">
        <v>69</v>
      </c>
      <c r="C40" s="10" t="s">
        <v>74</v>
      </c>
      <c r="D40" s="7" t="n">
        <v>33</v>
      </c>
      <c r="E40" s="6" t="n">
        <v>4950</v>
      </c>
    </row>
    <row r="41" customFormat="false" ht="15" hidden="false" customHeight="false" outlineLevel="0" collapsed="false">
      <c r="A41" s="15" t="n">
        <v>46043</v>
      </c>
      <c r="B41" s="10" t="s">
        <v>69</v>
      </c>
      <c r="C41" s="10" t="s">
        <v>70</v>
      </c>
      <c r="D41" s="7" t="n">
        <v>30</v>
      </c>
      <c r="E41" s="6" t="n">
        <v>2700</v>
      </c>
    </row>
    <row r="42" customFormat="false" ht="15" hidden="false" customHeight="false" outlineLevel="0" collapsed="false">
      <c r="A42" s="15" t="n">
        <v>46024</v>
      </c>
      <c r="B42" s="10" t="s">
        <v>73</v>
      </c>
      <c r="C42" s="10" t="s">
        <v>70</v>
      </c>
      <c r="D42" s="7" t="n">
        <v>43</v>
      </c>
      <c r="E42" s="6" t="n">
        <v>2580</v>
      </c>
    </row>
    <row r="43" customFormat="false" ht="15" hidden="false" customHeight="false" outlineLevel="0" collapsed="false">
      <c r="A43" s="15" t="n">
        <v>46159</v>
      </c>
      <c r="B43" s="10" t="s">
        <v>75</v>
      </c>
      <c r="C43" s="10" t="s">
        <v>74</v>
      </c>
      <c r="D43" s="7" t="n">
        <v>15</v>
      </c>
      <c r="E43" s="6" t="n">
        <v>2250</v>
      </c>
    </row>
    <row r="44" customFormat="false" ht="15" hidden="false" customHeight="false" outlineLevel="0" collapsed="false">
      <c r="A44" s="15" t="n">
        <v>46024</v>
      </c>
      <c r="B44" s="10" t="s">
        <v>73</v>
      </c>
      <c r="C44" s="10" t="s">
        <v>76</v>
      </c>
      <c r="D44" s="7" t="n">
        <v>30</v>
      </c>
      <c r="E44" s="6" t="n">
        <v>6600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2026-10-05T15:35:49Z</dcterms:created>
  <dc:creator>openpyxl</dc:creator>
  <dc:description/>
  <dc:language>en-US</dc:language>
  <cp:lastModifiedBy/>
  <dcterms:modified xsi:type="dcterms:W3CDTF">2026-10-05T15:35:49Z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