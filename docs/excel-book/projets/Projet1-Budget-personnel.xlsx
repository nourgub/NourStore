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<sst xmlns="http://schemas.openxmlformats.org/spreadsheetml/2006/main" count="32" uniqueCount="32">
  <si>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Budget personnel mensuel</t>
  </si>
  <si>
    <t xml:space="preserve">Nourix Academy · Projet 1 · Saisissez les montants en bleu ; tout le reste se calcule.</t>
  </si>
  <si>
    <t xml:space="preserve">Mois :</t>
  </si>
  <si>
    <t xml:space="preserve">Octobre 2026</t>
  </si>
  <si>
    <t xml:space="preserve">Revenus</t>
  </si>
  <si>
    <t xml:space="preserve">Montant</t>
  </si>
  <si>
    <t xml:space="preserve">Salaire</t>
  </si>
  <si>
    <t xml:space="preserve">Travail indépendant</t>
  </si>
  <si>
    <t xml:space="preserve">Autres revenus</t>
  </si>
  <si>
    <t xml:space="preserve">Total revenus</t>
  </si>
  <si>
    <t xml:space="preserve">Dépense</t>
  </si>
  <si>
    <t xml:space="preserve">Prévu</t>
  </si>
  <si>
    <t xml:space="preserve">Réel</t>
  </si>
  <si>
    <t xml:space="preserve">Écart</t>
  </si>
  <si>
    <t xml:space="preserve">% utilisé</t>
  </si>
  <si>
    <t xml:space="preserve">État</t>
  </si>
  <si>
    <t xml:space="preserve">Loyer</t>
  </si>
  <si>
    <t xml:space="preserve">Alimentation</t>
  </si>
  <si>
    <t xml:space="preserve">Transport</t>
  </si>
  <si>
    <t xml:space="preserve">Factures (eau, gaz, électricité)</t>
  </si>
  <si>
    <t xml:space="preserve">Internet et téléphone</t>
  </si>
  <si>
    <t xml:space="preserve">Santé</t>
  </si>
  <si>
    <t xml:space="preserve">Éducation</t>
  </si>
  <si>
    <t xml:space="preserve">Loisirs</t>
  </si>
  <si>
    <t xml:space="preserve">Vêtements</t>
  </si>
  <si>
    <t xml:space="preserve">Épargne</t>
  </si>
  <si>
    <t xml:space="preserve">Total dépenses</t>
  </si>
  <si>
    <t xml:space="preserve">Reste du mois (revenus − dépenses réelles)</t>
  </si>
  <si>
    <t xml:space="preserve">Taux d’épargne</t>
  </si>
  <si>
    <t xml:space="preserve">Légende :</t>
  </si>
  <si>
    <t xml:space="preserve">Saisie (modifiable)</t>
  </si>
  <si>
    <t xml:space="preserve">Formule (ne pas modifier)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</si>
</sst>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E3B24"/>
        <bgColor rgb="FF333333"/>
      </patternFill>
    </fill>
    <fill>
      <patternFill patternType="solid">
        <fgColor rgb="FFFBF3DD"/>
        <bgColor rgb="FFFFF2CC"/>
      </patternFill>
    </fill>
    <fill>
      <patternFill patternType="solid">
        <fgColor rgb="FFFFF2CC"/>
        <bgColor rgb="FFFBF3DD"/>
      </patternFill>
    </fill>
    <fill>
      <patternFill patternType="solid">
        <fgColor rgb="FF217346"/>
        <bgColor rgb="FF008080"/>
      </patternFill>
    </fill>
    <fill>
      <patternFill patternType="solid">
        <fgColor rgb="FFE2EFDA"/>
        <bgColor rgb="FFFBF3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8CBAD"/>
        </patternFill>
      </fill>
    </dxf>
    <dxf>
      <font>
        <b val="1"/>
        <color rgb="FF9C0006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217346"/>
      <rgbColor rgb="FFBFBFBF"/>
      <rgbColor rgb="FF878787"/>
      <rgbColor rgb="FF9999FF"/>
      <rgbColor rgb="FFC0504D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BF3DD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E3B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Prévu et réel par dépense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Budget!B12</c:f>
              <c:strCache>
                <c:ptCount val="1"/>
                <c:pt idx="0">
                  <c:v>Prévu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Budget!$A$13:$A$22</c:f>
              <c:strCache>
                <c:ptCount val="10"/>
                <c:pt idx="0">
                  <c:v>Loyer</c:v>
                </c:pt>
                <c:pt idx="1">
                  <c:v>Alimentation</c:v>
                </c:pt>
                <c:pt idx="2">
                  <c:v>Transport</c:v>
                </c:pt>
                <c:pt idx="3">
                  <c:v>Factures (eau, gaz, électricité)</c:v>
                </c:pt>
                <c:pt idx="4">
                  <c:v>Internet et téléphone</c:v>
                </c:pt>
                <c:pt idx="5">
                  <c:v>Santé</c:v>
                </c:pt>
                <c:pt idx="6">
                  <c:v>Éducation</c:v>
                </c:pt>
                <c:pt idx="7">
                  <c:v>Loisirs</c:v>
                </c:pt>
                <c:pt idx="8">
                  <c:v>Vêtements</c:v>
                </c:pt>
                <c:pt idx="9">
                  <c:v>Épargne</c:v>
                </c:pt>
              </c:strCache>
            </c:strRef>
          </c:cat>
          <c:val>
            <c:numRef>
              <c:f>Budget!$B$13:$B$22</c:f>
              <c:numCache>
                <c:formatCode>#,##0.00</c:formatCode>
                <c:ptCount val="10"/>
                <c:pt idx="0">
                  <c:v>20000</c:v>
                </c:pt>
                <c:pt idx="1">
                  <c:v>15000</c:v>
                </c:pt>
                <c:pt idx="2">
                  <c:v>5000</c:v>
                </c:pt>
                <c:pt idx="3">
                  <c:v>4000</c:v>
                </c:pt>
                <c:pt idx="4">
                  <c:v>2500</c:v>
                </c:pt>
                <c:pt idx="5">
                  <c:v>3000</c:v>
                </c:pt>
                <c:pt idx="6">
                  <c:v>4000</c:v>
                </c:pt>
                <c:pt idx="7">
                  <c:v>3000</c:v>
                </c:pt>
                <c:pt idx="8">
                  <c:v>3000</c:v>
                </c:pt>
                <c:pt idx="9">
                  <c:v>8000</c:v>
                </c:pt>
              </c:numCache>
            </c:numRef>
          </c:val>
        </c:ser>
        <c:ser>
          <c:idx val="1"/>
          <c:order val="1"/>
          <c:tx>
            <c:strRef>
              <c:f>Budget!C12</c:f>
              <c:strCache>
                <c:ptCount val="1"/>
                <c:pt idx="0">
                  <c:v>Réel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Budget!$A$13:$A$22</c:f>
              <c:strCache>
                <c:ptCount val="10"/>
                <c:pt idx="0">
                  <c:v>Loyer</c:v>
                </c:pt>
                <c:pt idx="1">
                  <c:v>Alimentation</c:v>
                </c:pt>
                <c:pt idx="2">
                  <c:v>Transport</c:v>
                </c:pt>
                <c:pt idx="3">
                  <c:v>Factures (eau, gaz, électricité)</c:v>
                </c:pt>
                <c:pt idx="4">
                  <c:v>Internet et téléphone</c:v>
                </c:pt>
                <c:pt idx="5">
                  <c:v>Santé</c:v>
                </c:pt>
                <c:pt idx="6">
                  <c:v>Éducation</c:v>
                </c:pt>
                <c:pt idx="7">
                  <c:v>Loisirs</c:v>
                </c:pt>
                <c:pt idx="8">
                  <c:v>Vêtements</c:v>
                </c:pt>
                <c:pt idx="9">
                  <c:v>Épargne</c:v>
                </c:pt>
              </c:strCache>
            </c:strRef>
          </c:cat>
          <c:val>
            <c:numRef>
              <c:f>Budget!$C$13:$C$22</c:f>
              <c:numCache>
                <c:formatCode>#,##0.00</c:formatCode>
                <c:ptCount val="10"/>
                <c:pt idx="0">
                  <c:v>20000</c:v>
                </c:pt>
                <c:pt idx="1">
                  <c:v>16800</c:v>
                </c:pt>
                <c:pt idx="2">
                  <c:v>4200</c:v>
                </c:pt>
                <c:pt idx="3">
                  <c:v>4600</c:v>
                </c:pt>
                <c:pt idx="4">
                  <c:v>2500</c:v>
                </c:pt>
                <c:pt idx="5">
                  <c:v>1200</c:v>
                </c:pt>
                <c:pt idx="6">
                  <c:v>4000</c:v>
                </c:pt>
                <c:pt idx="7">
                  <c:v>3900</c:v>
                </c:pt>
                <c:pt idx="8">
                  <c:v>1500</c:v>
                </c:pt>
                <c:pt idx="9">
                  <c:v>8000</c:v>
                </c:pt>
              </c:numCache>
            </c:numRef>
          </c:val>
        </c:ser>
        <c:gapWidth val="150"/>
        <c:overlap val="0"/>
        <c:axId val="59870970"/>
        <c:axId val="78207256"/>
      </c:barChart>
      <c:catAx>
        <c:axId val="598709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07256"/>
        <c:crosses val="autoZero"/>
        <c:auto val="1"/>
        <c:lblAlgn val="ctr"/>
        <c:lblOffset val="100"/>
        <c:noMultiLvlLbl val="0"/>
      </c:catAx>
      <c:valAx>
        <c:axId val="78207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709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15</xdr:col>
      <xdr:colOff>258120</xdr:colOff>
      <xdr:row>20</xdr:row>
      <xdr:rowOff>1080</xdr:rowOff>
    </xdr:to>
    <xdr:graphicFrame>
      <xdr:nvGraphicFramePr>
        <xdr:cNvPr id="0" name="Chart 1"/>
        <xdr:cNvGraphicFramePr/>
      </xdr:nvGraphicFramePr>
      <xdr:xfrm>
        <a:off x="8848800" y="762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</row>
    <row r="7" customFormat="false" ht="15" hidden="false" customHeight="false" outlineLevel="0" collapsed="false">
      <c r="A7" s="6" t="s">
        <v>6</v>
      </c>
      <c r="B7" s="7" t="n">
        <v>60000</v>
      </c>
    </row>
    <row r="8" customFormat="false" ht="15" hidden="false" customHeight="false" outlineLevel="0" collapsed="false">
      <c r="A8" s="6" t="s">
        <v>7</v>
      </c>
      <c r="B8" s="7" t="n">
        <v>12000</v>
      </c>
    </row>
    <row r="9" customFormat="false" ht="15" hidden="false" customHeight="false" outlineLevel="0" collapsed="false">
      <c r="A9" s="6" t="s">
        <v>8</v>
      </c>
      <c r="B9" s="7" t="n">
        <v>3000</v>
      </c>
    </row>
    <row r="10" customFormat="false" ht="15" hidden="false" customHeight="false" outlineLevel="0" collapsed="false">
      <c r="A10" s="8" t="s">
        <v>9</v>
      </c>
      <c r="B10" s="9" t="n">
        <f aca="false">SUM(B7:B9)</f>
        <v>75000</v>
      </c>
    </row>
    <row r="12" customFormat="false" ht="15" hidden="false" customHeight="false" outlineLevel="0" collapsed="false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14</v>
      </c>
      <c r="F12" s="5" t="s">
        <v>15</v>
      </c>
    </row>
    <row r="13" customFormat="false" ht="15" hidden="false" customHeight="false" outlineLevel="0" collapsed="false">
      <c r="A13" s="6" t="s">
        <v>16</v>
      </c>
      <c r="B13" s="7" t="n">
        <v>20000</v>
      </c>
      <c r="C13" s="7" t="n">
        <v>20000</v>
      </c>
      <c r="D13" s="10" t="n">
        <f aca="false">B13-C13</f>
        <v>0</v>
      </c>
      <c r="E13" s="11" t="n">
        <f aca="false">IF(B13=0,0,C13/B13)</f>
        <v>1</v>
      </c>
      <c r="F13" s="12" t="str">
        <f aca="false">IF(C13&gt;B13,"Dépassement","OK")</f>
        <v>OK</v>
      </c>
    </row>
    <row r="14" customFormat="false" ht="15" hidden="false" customHeight="false" outlineLevel="0" collapsed="false">
      <c r="A14" s="6" t="s">
        <v>17</v>
      </c>
      <c r="B14" s="7" t="n">
        <v>15000</v>
      </c>
      <c r="C14" s="7" t="n">
        <v>16800</v>
      </c>
      <c r="D14" s="10" t="n">
        <f aca="false">B14-C14</f>
        <v>-1800</v>
      </c>
      <c r="E14" s="11" t="n">
        <f aca="false">IF(B14=0,0,C14/B14)</f>
        <v>1.12</v>
      </c>
      <c r="F14" s="12" t="str">
        <f aca="false">IF(C14&gt;B14,"Dépassement","OK")</f>
        <v>Dépassement</v>
      </c>
    </row>
    <row r="15" customFormat="false" ht="15" hidden="false" customHeight="false" outlineLevel="0" collapsed="false">
      <c r="A15" s="6" t="s">
        <v>18</v>
      </c>
      <c r="B15" s="7" t="n">
        <v>5000</v>
      </c>
      <c r="C15" s="7" t="n">
        <v>4200</v>
      </c>
      <c r="D15" s="10" t="n">
        <f aca="false">B15-C15</f>
        <v>800</v>
      </c>
      <c r="E15" s="11" t="n">
        <f aca="false">IF(B15=0,0,C15/B15)</f>
        <v>0.84</v>
      </c>
      <c r="F15" s="12" t="str">
        <f aca="false">IF(C15&gt;B15,"Dépassement","OK")</f>
        <v>OK</v>
      </c>
    </row>
    <row r="16" customFormat="false" ht="15" hidden="false" customHeight="false" outlineLevel="0" collapsed="false">
      <c r="A16" s="6" t="s">
        <v>19</v>
      </c>
      <c r="B16" s="7" t="n">
        <v>4000</v>
      </c>
      <c r="C16" s="7" t="n">
        <v>4600</v>
      </c>
      <c r="D16" s="10" t="n">
        <f aca="false">B16-C16</f>
        <v>-600</v>
      </c>
      <c r="E16" s="11" t="n">
        <f aca="false">IF(B16=0,0,C16/B16)</f>
        <v>1.15</v>
      </c>
      <c r="F16" s="12" t="str">
        <f aca="false">IF(C16&gt;B16,"Dépassement","OK")</f>
        <v>Dépassement</v>
      </c>
    </row>
    <row r="17" customFormat="false" ht="15" hidden="false" customHeight="false" outlineLevel="0" collapsed="false">
      <c r="A17" s="6" t="s">
        <v>20</v>
      </c>
      <c r="B17" s="7" t="n">
        <v>2500</v>
      </c>
      <c r="C17" s="7" t="n">
        <v>2500</v>
      </c>
      <c r="D17" s="10" t="n">
        <f aca="false">B17-C17</f>
        <v>0</v>
      </c>
      <c r="E17" s="11" t="n">
        <f aca="false">IF(B17=0,0,C17/B17)</f>
        <v>1</v>
      </c>
      <c r="F17" s="12" t="str">
        <f aca="false">IF(C17&gt;B17,"Dépassement","OK")</f>
        <v>OK</v>
      </c>
    </row>
    <row r="18" customFormat="false" ht="15" hidden="false" customHeight="false" outlineLevel="0" collapsed="false">
      <c r="A18" s="6" t="s">
        <v>21</v>
      </c>
      <c r="B18" s="7" t="n">
        <v>3000</v>
      </c>
      <c r="C18" s="7" t="n">
        <v>1200</v>
      </c>
      <c r="D18" s="10" t="n">
        <f aca="false">B18-C18</f>
        <v>1800</v>
      </c>
      <c r="E18" s="11" t="n">
        <f aca="false">IF(B18=0,0,C18/B18)</f>
        <v>0.4</v>
      </c>
      <c r="F18" s="12" t="str">
        <f aca="false">IF(C18&gt;B18,"Dépassement","OK")</f>
        <v>OK</v>
      </c>
    </row>
    <row r="19" customFormat="false" ht="15" hidden="false" customHeight="false" outlineLevel="0" collapsed="false">
      <c r="A19" s="6" t="s">
        <v>22</v>
      </c>
      <c r="B19" s="7" t="n">
        <v>4000</v>
      </c>
      <c r="C19" s="7" t="n">
        <v>4000</v>
      </c>
      <c r="D19" s="10" t="n">
        <f aca="false">B19-C19</f>
        <v>0</v>
      </c>
      <c r="E19" s="11" t="n">
        <f aca="false">IF(B19=0,0,C19/B19)</f>
        <v>1</v>
      </c>
      <c r="F19" s="12" t="str">
        <f aca="false">IF(C19&gt;B19,"Dépassement","OK")</f>
        <v>OK</v>
      </c>
    </row>
    <row r="20" customFormat="false" ht="15" hidden="false" customHeight="false" outlineLevel="0" collapsed="false">
      <c r="A20" s="6" t="s">
        <v>23</v>
      </c>
      <c r="B20" s="7" t="n">
        <v>3000</v>
      </c>
      <c r="C20" s="7" t="n">
        <v>3900</v>
      </c>
      <c r="D20" s="10" t="n">
        <f aca="false">B20-C20</f>
        <v>-900</v>
      </c>
      <c r="E20" s="11" t="n">
        <f aca="false">IF(B20=0,0,C20/B20)</f>
        <v>1.3</v>
      </c>
      <c r="F20" s="12" t="str">
        <f aca="false">IF(C20&gt;B20,"Dépassement","OK")</f>
        <v>Dépassement</v>
      </c>
    </row>
    <row r="21" customFormat="false" ht="15" hidden="false" customHeight="false" outlineLevel="0" collapsed="false">
      <c r="A21" s="6" t="s">
        <v>24</v>
      </c>
      <c r="B21" s="7" t="n">
        <v>3000</v>
      </c>
      <c r="C21" s="7" t="n">
        <v>1500</v>
      </c>
      <c r="D21" s="10" t="n">
        <f aca="false">B21-C21</f>
        <v>1500</v>
      </c>
      <c r="E21" s="11" t="n">
        <f aca="false">IF(B21=0,0,C21/B21)</f>
        <v>0.5</v>
      </c>
      <c r="F21" s="12" t="str">
        <f aca="false">IF(C21&gt;B21,"Dépassement","OK")</f>
        <v>OK</v>
      </c>
    </row>
    <row r="22" customFormat="false" ht="15" hidden="false" customHeight="false" outlineLevel="0" collapsed="false">
      <c r="A22" s="6" t="s">
        <v>25</v>
      </c>
      <c r="B22" s="7" t="n">
        <v>8000</v>
      </c>
      <c r="C22" s="7" t="n">
        <v>8000</v>
      </c>
      <c r="D22" s="10" t="n">
        <f aca="false">B22-C22</f>
        <v>0</v>
      </c>
      <c r="E22" s="11" t="n">
        <f aca="false">IF(B22=0,0,C22/B22)</f>
        <v>1</v>
      </c>
      <c r="F22" s="12" t="str">
        <f aca="false">IF(C22&gt;B22,"Dépassement","OK")</f>
        <v>OK</v>
      </c>
    </row>
    <row r="23" customFormat="false" ht="15" hidden="false" customHeight="false" outlineLevel="0" collapsed="false">
      <c r="A23" s="8" t="s">
        <v>26</v>
      </c>
      <c r="B23" s="9" t="n">
        <f aca="false">SUM(B13:B22)</f>
        <v>67500</v>
      </c>
      <c r="C23" s="9" t="n">
        <f aca="false">SUM(C13:C22)</f>
        <v>66700</v>
      </c>
      <c r="D23" s="9" t="n">
        <f aca="false">SUM(D13:D22)</f>
        <v>800</v>
      </c>
      <c r="E23" s="13" t="n">
        <f aca="false">IF(B23=0,0,C23/B23)</f>
        <v>0.988148148148148</v>
      </c>
      <c r="F23" s="14"/>
    </row>
    <row r="25" customFormat="false" ht="15" hidden="false" customHeight="false" outlineLevel="0" collapsed="false">
      <c r="A25" s="3" t="s">
        <v>27</v>
      </c>
      <c r="C25" s="15" t="n">
        <f aca="false">B10-C23</f>
        <v>8300</v>
      </c>
    </row>
    <row r="26" customFormat="false" ht="15" hidden="false" customHeight="false" outlineLevel="0" collapsed="false">
      <c r="A26" s="3" t="s">
        <v>28</v>
      </c>
      <c r="C26" s="16" t="n">
        <f aca="false">IF(B10=0,0,(C22+C25)/B10)</f>
        <v>0.217333333333333</v>
      </c>
    </row>
    <row r="28" customFormat="false" ht="15" hidden="false" customHeight="false" outlineLevel="0" collapsed="false">
      <c r="A28" s="17" t="s">
        <v>29</v>
      </c>
      <c r="B28" s="18" t="s">
        <v>30</v>
      </c>
      <c r="C28" s="19" t="s">
        <v>31</v>
      </c>
    </row>
  </sheetData>
  <mergeCells count="2">
    <mergeCell ref="A1:F1"/>
    <mergeCell ref="A2:F2"/>
  </mergeCells>
  <conditionalFormatting sqref="D13:D22">
    <cfRule type="cellIs" priority="2" operator="lessThan" aboveAverage="0" equalAverage="0" bottom="0" percent="0" rank="0" text="" dxfId="0">
      <formula>0</formula>
    </cfRule>
  </conditionalFormatting>
  <conditionalFormatting sqref="F13:F22">
    <cfRule type="cellIs" priority="3" operator="equal" aboveAverage="0" equalAverage="0" bottom="0" percent="0" rank="0" text="" dxfId="1">
      <formula>"Dépassement"</formula>
    </cfRule>
  </conditionalFormatting>
  <conditionalFormatting sqref="E13:E22">
    <cfRule type="dataBar" priority="4">
      <dataBar showValue="1" minLength="10" maxLength="90">
        <cfvo type="num" val="0"/>
        <cfvo type="num" val="1.5"/>
        <color rgb="FF217346"/>
      </dataBar>
      <extLst>
        <ext xmlns:x14="http://schemas.microsoft.com/office/spreadsheetml/2009/9/main" uri="{B025F937-C7B1-47D3-B67F-A62EFF666E3E}">
          <x14:id>{FF18EA19-118F-4F49-A6AD-8B4BA4D7C7A9}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18EA19-118F-4F49-A6AD-8B4BA4D7C7A9}">
            <x14:dataBar minLength="10" maxLength="90" axisPosition="none" gradient="true">
              <x14:cfvo type="num">
                <xm:f>0</xm:f>
              </x14:cfvo>
              <x14:cfvo type="num">
                <xm:f>1.5</xm:f>
              </x14:cfvo>
              <x14:negativeFillColor rgb="FF217346"/>
              <x14:axisColor rgb="FF000000"/>
            </x14:dataBar>
          </x14:cfRule>
          <xm:sqref>E13:E22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2026-10-05T01:05:55Z</dcterms:created>
  <dc:creator>openpyxl</dc:creator>
  <dc:description/>
  <dc:language>en-US</dc:language>
  <cp:lastModifiedBy/>
  <dcterms:modified xsi:type="dcterms:W3CDTF">2026-10-05T01:05:58Z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