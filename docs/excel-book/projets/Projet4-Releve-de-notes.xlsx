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lev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<sst xmlns="http://schemas.openxmlformats.org/spreadsheetml/2006/main" count="39" uniqueCount="39">
  <si>
    <t xml:space="preserve">Relevé de notes de la classe</t>
  </si>
  <si>
    <t xml:space="preserve">Nourix Academy · Projet 4 · Saisissez les coefficients et les notes sur 20 (noms fictifs).</t>
  </si>
  <si>
    <t xml:space="preserve">Coefficients</t>
  </si>
  <si>
    <t xml:space="preserve">N°</t>
  </si>
  <si>
    <t xml:space="preserve">Élève</t>
  </si>
  <si>
    <t xml:space="preserve">Mathématiques</t>
  </si>
  <si>
    <t xml:space="preserve">Arabe</t>
  </si>
  <si>
    <t xml:space="preserve">Français</t>
  </si>
  <si>
    <t xml:space="preserve">Sciences</t>
  </si>
  <si>
    <t xml:space="preserve">Histoire-Géo</t>
  </si>
  <si>
    <t xml:space="preserve">Moyenne</t>
  </si>
  <si>
    <t xml:space="preserve">Rang</t>
  </si>
  <si>
    <t xml:space="preserve">Mention</t>
  </si>
  <si>
    <t xml:space="preserve">Décision</t>
  </si>
  <si>
    <t xml:space="preserve">Amine Exemple</t>
  </si>
  <si>
    <t xml:space="preserve">Sara Exemple</t>
  </si>
  <si>
    <t xml:space="preserve">Yacine Exemple</t>
  </si>
  <si>
    <t xml:space="preserve">Lina Exemple</t>
  </si>
  <si>
    <t xml:space="preserve">Omar Exemple</t>
  </si>
  <si>
    <t xml:space="preserve">Nour Exemple</t>
  </si>
  <si>
    <t xml:space="preserve">Karim Exemple</t>
  </si>
  <si>
    <t xml:space="preserve">Meriem Exemple</t>
  </si>
  <si>
    <t xml:space="preserve">Ilyes Exemple</t>
  </si>
  <si>
    <t xml:space="preserve">Rania Exemple</t>
  </si>
  <si>
    <t xml:space="preserve">Walid Exemple</t>
  </si>
  <si>
    <t xml:space="preserve">Yasmine Exemple</t>
  </si>
  <si>
    <t xml:space="preserve">Sofiane Exemple</t>
  </si>
  <si>
    <t xml:space="preserve">Imane Exemple</t>
  </si>
  <si>
    <t xml:space="preserve">Adam Exemple</t>
  </si>
  <si>
    <t xml:space="preserve">Malak Exemple</t>
  </si>
  <si>
    <t xml:space="preserve">Moyenne de la classe</t>
  </si>
  <si>
    <t xml:space="preserve">Meilleure moyenne</t>
  </si>
  <si>
    <t xml:space="preserve">Plus faible moyenne</t>
  </si>
  <si>
    <t xml:space="preserve">Nombre d’admis</t>
  </si>
  <si>
    <t xml:space="preserve">Taux de réussite</t>
  </si>
  <si>
    <t xml:space="preserve">Major de la classe</t>
  </si>
  <si>
    <t xml:space="preserve">Légende :</t>
  </si>
  <si>
    <t xml:space="preserve">Saisie (modifiable)</t>
  </si>
  <si>
    <t xml:space="preserve">Formule (ne pas modifier)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</si>
</sst>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0"/>
    <numFmt numFmtId="167" formatCode="General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E3B24"/>
        <bgColor rgb="FF333333"/>
      </patternFill>
    </fill>
    <fill>
      <patternFill patternType="solid">
        <fgColor rgb="FFFBF3DD"/>
        <bgColor rgb="FFFFF2CC"/>
      </patternFill>
    </fill>
    <fill>
      <patternFill patternType="solid">
        <fgColor rgb="FFFFF2CC"/>
        <bgColor rgb="FFFBF3DD"/>
      </patternFill>
    </fill>
    <fill>
      <patternFill patternType="solid">
        <fgColor rgb="FF217346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C00000"/>
      </font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217346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BF3DD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E3B24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Moyenne par élève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Relevé!H6</c:f>
              <c:strCache>
                <c:ptCount val="1"/>
                <c:pt idx="0">
                  <c:v>Moyenne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Relevé!$B$7:$B$22</c:f>
              <c:strCache>
                <c:ptCount val="16"/>
                <c:pt idx="0">
                  <c:v>Amine Exemple</c:v>
                </c:pt>
                <c:pt idx="1">
                  <c:v>Sara Exemple</c:v>
                </c:pt>
                <c:pt idx="2">
                  <c:v>Yacine Exemple</c:v>
                </c:pt>
                <c:pt idx="3">
                  <c:v>Lina Exemple</c:v>
                </c:pt>
                <c:pt idx="4">
                  <c:v>Omar Exemple</c:v>
                </c:pt>
                <c:pt idx="5">
                  <c:v>Nour Exemple</c:v>
                </c:pt>
                <c:pt idx="6">
                  <c:v>Karim Exemple</c:v>
                </c:pt>
                <c:pt idx="7">
                  <c:v>Meriem Exemple</c:v>
                </c:pt>
                <c:pt idx="8">
                  <c:v>Ilyes Exemple</c:v>
                </c:pt>
                <c:pt idx="9">
                  <c:v>Rania Exemple</c:v>
                </c:pt>
                <c:pt idx="10">
                  <c:v>Walid Exemple</c:v>
                </c:pt>
                <c:pt idx="11">
                  <c:v>Yasmine Exemple</c:v>
                </c:pt>
                <c:pt idx="12">
                  <c:v>Sofiane Exemple</c:v>
                </c:pt>
                <c:pt idx="13">
                  <c:v>Imane Exemple</c:v>
                </c:pt>
                <c:pt idx="14">
                  <c:v>Adam Exemple</c:v>
                </c:pt>
                <c:pt idx="15">
                  <c:v>Malak Exemple</c:v>
                </c:pt>
              </c:strCache>
            </c:strRef>
          </c:cat>
          <c:val>
            <c:numRef>
              <c:f>Relevé!$H$7:$H$22</c:f>
              <c:numCache>
                <c:formatCode>0.00</c:formatCode>
                <c:ptCount val="16"/>
                <c:pt idx="0">
                  <c:v>16.96</c:v>
                </c:pt>
                <c:pt idx="1">
                  <c:v>10.3</c:v>
                </c:pt>
                <c:pt idx="2">
                  <c:v>15.32</c:v>
                </c:pt>
                <c:pt idx="3">
                  <c:v>15.14</c:v>
                </c:pt>
                <c:pt idx="4">
                  <c:v>8.32</c:v>
                </c:pt>
                <c:pt idx="5">
                  <c:v>8.7</c:v>
                </c:pt>
                <c:pt idx="6">
                  <c:v>7.63</c:v>
                </c:pt>
                <c:pt idx="7">
                  <c:v>8.09</c:v>
                </c:pt>
                <c:pt idx="8">
                  <c:v>9.11</c:v>
                </c:pt>
                <c:pt idx="9">
                  <c:v>16.21</c:v>
                </c:pt>
                <c:pt idx="10">
                  <c:v>13</c:v>
                </c:pt>
                <c:pt idx="11">
                  <c:v>14.14</c:v>
                </c:pt>
                <c:pt idx="12">
                  <c:v>16.02</c:v>
                </c:pt>
                <c:pt idx="13">
                  <c:v>11.98</c:v>
                </c:pt>
                <c:pt idx="14">
                  <c:v>7.95</c:v>
                </c:pt>
                <c:pt idx="15">
                  <c:v>11.23</c:v>
                </c:pt>
              </c:numCache>
            </c:numRef>
          </c:val>
        </c:ser>
        <c:gapWidth val="150"/>
        <c:overlap val="0"/>
        <c:axId val="24233072"/>
        <c:axId val="18233475"/>
      </c:barChart>
      <c:catAx>
        <c:axId val="24233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233475"/>
        <c:crosses val="autoZero"/>
        <c:auto val="1"/>
        <c:lblAlgn val="ctr"/>
        <c:lblOffset val="100"/>
        <c:noMultiLvlLbl val="0"/>
      </c:catAx>
      <c:valAx>
        <c:axId val="182334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3307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23</xdr:row>
      <xdr:rowOff>0</xdr:rowOff>
    </xdr:from>
    <xdr:to>
      <xdr:col>12</xdr:col>
      <xdr:colOff>671040</xdr:colOff>
      <xdr:row>38</xdr:row>
      <xdr:rowOff>21960</xdr:rowOff>
    </xdr:to>
    <xdr:graphicFrame>
      <xdr:nvGraphicFramePr>
        <xdr:cNvPr id="0" name="Chart 1"/>
        <xdr:cNvGraphicFramePr/>
      </xdr:nvGraphicFramePr>
      <xdr:xfrm>
        <a:off x="3920400" y="4572000"/>
        <a:ext cx="71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6" min="4" style="0" width="10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7"/>
    <col collapsed="false" customWidth="true" hidden="false" outlineLevel="0" max="10" min="10" style="0" width="12"/>
    <col collapsed="false" customWidth="true" hidden="false" outlineLevel="0" max="11" min="11" style="0" width="1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customFormat="false" ht="15" hidden="false" customHeight="false" outlineLevel="0" collapsed="false">
      <c r="A4" s="3" t="s">
        <v>2</v>
      </c>
      <c r="C4" s="4" t="n">
        <v>4</v>
      </c>
      <c r="D4" s="4" t="n">
        <v>3</v>
      </c>
      <c r="E4" s="4" t="n">
        <v>3</v>
      </c>
      <c r="F4" s="4" t="n">
        <v>2</v>
      </c>
      <c r="G4" s="4" t="n">
        <v>2</v>
      </c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  <c r="E6" s="5" t="s">
        <v>7</v>
      </c>
      <c r="F6" s="5" t="s">
        <v>8</v>
      </c>
      <c r="G6" s="5" t="s">
        <v>9</v>
      </c>
      <c r="H6" s="5" t="s">
        <v>10</v>
      </c>
      <c r="I6" s="5" t="s">
        <v>11</v>
      </c>
      <c r="J6" s="5" t="s">
        <v>12</v>
      </c>
      <c r="K6" s="5" t="s">
        <v>13</v>
      </c>
    </row>
    <row r="7" customFormat="false" ht="15" hidden="false" customHeight="false" outlineLevel="0" collapsed="false">
      <c r="A7" s="6" t="n">
        <v>1</v>
      </c>
      <c r="B7" s="7" t="s">
        <v>14</v>
      </c>
      <c r="C7" s="8" t="n">
        <v>17.5</v>
      </c>
      <c r="D7" s="8" t="n">
        <v>17.75</v>
      </c>
      <c r="E7" s="8" t="n">
        <v>16.75</v>
      </c>
      <c r="F7" s="8" t="n">
        <v>18.25</v>
      </c>
      <c r="G7" s="8" t="n">
        <v>13.75</v>
      </c>
      <c r="H7" s="9" t="n">
        <f aca="false">ROUND(SUMPRODUCT(C7:G7,$C$4:$G$4)/SUM($C$4:$G$4),2)</f>
        <v>16.96</v>
      </c>
      <c r="I7" s="6" t="n">
        <f aca="false">RANK(H7,$H$7:$H$22,0)</f>
        <v>1</v>
      </c>
      <c r="J7" s="10" t="str">
        <f aca="false">IF(H7&gt;=16,"Très bien",IF(H7&gt;=14,"Bien",IF(H7&gt;=12,"Assez bien",IF(H7&gt;=10,"Passable",""))))</f>
        <v>Très bien</v>
      </c>
      <c r="K7" s="10" t="str">
        <f aca="false">IF(H7&gt;=10,"Admis","Ajourné")</f>
        <v>Admis</v>
      </c>
    </row>
    <row r="8" customFormat="false" ht="15" hidden="false" customHeight="false" outlineLevel="0" collapsed="false">
      <c r="A8" s="6" t="n">
        <v>2</v>
      </c>
      <c r="B8" s="7" t="s">
        <v>15</v>
      </c>
      <c r="C8" s="8" t="n">
        <v>10</v>
      </c>
      <c r="D8" s="8" t="n">
        <v>12</v>
      </c>
      <c r="E8" s="8" t="n">
        <v>9.75</v>
      </c>
      <c r="F8" s="8" t="n">
        <v>7.75</v>
      </c>
      <c r="G8" s="8" t="n">
        <v>11.75</v>
      </c>
      <c r="H8" s="9" t="n">
        <f aca="false">ROUND(SUMPRODUCT(C8:G8,$C$4:$G$4)/SUM($C$4:$G$4),2)</f>
        <v>10.3</v>
      </c>
      <c r="I8" s="6" t="n">
        <f aca="false">RANK(H8,$H$7:$H$22,0)</f>
        <v>10</v>
      </c>
      <c r="J8" s="10" t="str">
        <f aca="false">IF(H8&gt;=16,"Très bien",IF(H8&gt;=14,"Bien",IF(H8&gt;=12,"Assez bien",IF(H8&gt;=10,"Passable",""))))</f>
        <v>Passable</v>
      </c>
      <c r="K8" s="10" t="str">
        <f aca="false">IF(H8&gt;=10,"Admis","Ajourné")</f>
        <v>Admis</v>
      </c>
    </row>
    <row r="9" customFormat="false" ht="15" hidden="false" customHeight="false" outlineLevel="0" collapsed="false">
      <c r="A9" s="6" t="n">
        <v>3</v>
      </c>
      <c r="B9" s="7" t="s">
        <v>16</v>
      </c>
      <c r="C9" s="8" t="n">
        <v>15.5</v>
      </c>
      <c r="D9" s="8" t="n">
        <v>14</v>
      </c>
      <c r="E9" s="8" t="n">
        <v>14</v>
      </c>
      <c r="F9" s="8" t="n">
        <v>14.25</v>
      </c>
      <c r="G9" s="8" t="n">
        <v>20</v>
      </c>
      <c r="H9" s="9" t="n">
        <f aca="false">ROUND(SUMPRODUCT(C9:G9,$C$4:$G$4)/SUM($C$4:$G$4),2)</f>
        <v>15.32</v>
      </c>
      <c r="I9" s="6" t="n">
        <f aca="false">RANK(H9,$H$7:$H$22,0)</f>
        <v>4</v>
      </c>
      <c r="J9" s="10" t="str">
        <f aca="false">IF(H9&gt;=16,"Très bien",IF(H9&gt;=14,"Bien",IF(H9&gt;=12,"Assez bien",IF(H9&gt;=10,"Passable",""))))</f>
        <v>Bien</v>
      </c>
      <c r="K9" s="10" t="str">
        <f aca="false">IF(H9&gt;=10,"Admis","Ajourné")</f>
        <v>Admis</v>
      </c>
    </row>
    <row r="10" customFormat="false" ht="15" hidden="false" customHeight="false" outlineLevel="0" collapsed="false">
      <c r="A10" s="6" t="n">
        <v>4</v>
      </c>
      <c r="B10" s="7" t="s">
        <v>17</v>
      </c>
      <c r="C10" s="8" t="n">
        <v>16.25</v>
      </c>
      <c r="D10" s="8" t="n">
        <v>17.5</v>
      </c>
      <c r="E10" s="8" t="n">
        <v>12</v>
      </c>
      <c r="F10" s="8" t="n">
        <v>13</v>
      </c>
      <c r="G10" s="8" t="n">
        <v>16.25</v>
      </c>
      <c r="H10" s="9" t="n">
        <f aca="false">ROUND(SUMPRODUCT(C10:G10,$C$4:$G$4)/SUM($C$4:$G$4),2)</f>
        <v>15.14</v>
      </c>
      <c r="I10" s="6" t="n">
        <f aca="false">RANK(H10,$H$7:$H$22,0)</f>
        <v>5</v>
      </c>
      <c r="J10" s="10" t="str">
        <f aca="false">IF(H10&gt;=16,"Très bien",IF(H10&gt;=14,"Bien",IF(H10&gt;=12,"Assez bien",IF(H10&gt;=10,"Passable",""))))</f>
        <v>Bien</v>
      </c>
      <c r="K10" s="10" t="str">
        <f aca="false">IF(H10&gt;=10,"Admis","Ajourné")</f>
        <v>Admis</v>
      </c>
    </row>
    <row r="11" customFormat="false" ht="15" hidden="false" customHeight="false" outlineLevel="0" collapsed="false">
      <c r="A11" s="6" t="n">
        <v>5</v>
      </c>
      <c r="B11" s="7" t="s">
        <v>18</v>
      </c>
      <c r="C11" s="8" t="n">
        <v>7.5</v>
      </c>
      <c r="D11" s="8" t="n">
        <v>7.5</v>
      </c>
      <c r="E11" s="8" t="n">
        <v>9.5</v>
      </c>
      <c r="F11" s="8" t="n">
        <v>8.75</v>
      </c>
      <c r="G11" s="8" t="n">
        <v>9</v>
      </c>
      <c r="H11" s="9" t="n">
        <f aca="false">ROUND(SUMPRODUCT(C11:G11,$C$4:$G$4)/SUM($C$4:$G$4),2)</f>
        <v>8.32</v>
      </c>
      <c r="I11" s="6" t="n">
        <f aca="false">RANK(H11,$H$7:$H$22,0)</f>
        <v>13</v>
      </c>
      <c r="J11" s="10" t="str">
        <f aca="false">IF(H11&gt;=16,"Très bien",IF(H11&gt;=14,"Bien",IF(H11&gt;=12,"Assez bien",IF(H11&gt;=10,"Passable",""))))</f>
        <v/>
      </c>
      <c r="K11" s="10" t="str">
        <f aca="false">IF(H11&gt;=10,"Admis","Ajourné")</f>
        <v>Ajourné</v>
      </c>
    </row>
    <row r="12" customFormat="false" ht="15" hidden="false" customHeight="false" outlineLevel="0" collapsed="false">
      <c r="A12" s="6" t="n">
        <v>6</v>
      </c>
      <c r="B12" s="7" t="s">
        <v>19</v>
      </c>
      <c r="C12" s="8" t="n">
        <v>9.25</v>
      </c>
      <c r="D12" s="8" t="n">
        <v>8.75</v>
      </c>
      <c r="E12" s="8" t="n">
        <v>7.5</v>
      </c>
      <c r="F12" s="8" t="n">
        <v>9.25</v>
      </c>
      <c r="G12" s="8" t="n">
        <v>8.75</v>
      </c>
      <c r="H12" s="9" t="n">
        <f aca="false">ROUND(SUMPRODUCT(C12:G12,$C$4:$G$4)/SUM($C$4:$G$4),2)</f>
        <v>8.7</v>
      </c>
      <c r="I12" s="6" t="n">
        <f aca="false">RANK(H12,$H$7:$H$22,0)</f>
        <v>12</v>
      </c>
      <c r="J12" s="10" t="str">
        <f aca="false">IF(H12&gt;=16,"Très bien",IF(H12&gt;=14,"Bien",IF(H12&gt;=12,"Assez bien",IF(H12&gt;=10,"Passable",""))))</f>
        <v/>
      </c>
      <c r="K12" s="10" t="str">
        <f aca="false">IF(H12&gt;=10,"Admis","Ajourné")</f>
        <v>Ajourné</v>
      </c>
    </row>
    <row r="13" customFormat="false" ht="15" hidden="false" customHeight="false" outlineLevel="0" collapsed="false">
      <c r="A13" s="6" t="n">
        <v>7</v>
      </c>
      <c r="B13" s="7" t="s">
        <v>20</v>
      </c>
      <c r="C13" s="8" t="n">
        <v>9.5</v>
      </c>
      <c r="D13" s="8" t="n">
        <v>5</v>
      </c>
      <c r="E13" s="8" t="n">
        <v>8.25</v>
      </c>
      <c r="F13" s="8" t="n">
        <v>8.5</v>
      </c>
      <c r="G13" s="8" t="n">
        <v>6</v>
      </c>
      <c r="H13" s="9" t="n">
        <f aca="false">ROUND(SUMPRODUCT(C13:G13,$C$4:$G$4)/SUM($C$4:$G$4),2)</f>
        <v>7.63</v>
      </c>
      <c r="I13" s="6" t="n">
        <f aca="false">RANK(H13,$H$7:$H$22,0)</f>
        <v>16</v>
      </c>
      <c r="J13" s="10" t="str">
        <f aca="false">IF(H13&gt;=16,"Très bien",IF(H13&gt;=14,"Bien",IF(H13&gt;=12,"Assez bien",IF(H13&gt;=10,"Passable",""))))</f>
        <v/>
      </c>
      <c r="K13" s="10" t="str">
        <f aca="false">IF(H13&gt;=10,"Admis","Ajourné")</f>
        <v>Ajourné</v>
      </c>
    </row>
    <row r="14" customFormat="false" ht="15" hidden="false" customHeight="false" outlineLevel="0" collapsed="false">
      <c r="A14" s="6" t="n">
        <v>8</v>
      </c>
      <c r="B14" s="7" t="s">
        <v>21</v>
      </c>
      <c r="C14" s="8" t="n">
        <v>10</v>
      </c>
      <c r="D14" s="8" t="n">
        <v>12.25</v>
      </c>
      <c r="E14" s="8" t="n">
        <v>2.5</v>
      </c>
      <c r="F14" s="8" t="n">
        <v>5.75</v>
      </c>
      <c r="G14" s="8" t="n">
        <v>8.75</v>
      </c>
      <c r="H14" s="9" t="n">
        <f aca="false">ROUND(SUMPRODUCT(C14:G14,$C$4:$G$4)/SUM($C$4:$G$4),2)</f>
        <v>8.09</v>
      </c>
      <c r="I14" s="6" t="n">
        <f aca="false">RANK(H14,$H$7:$H$22,0)</f>
        <v>14</v>
      </c>
      <c r="J14" s="10" t="str">
        <f aca="false">IF(H14&gt;=16,"Très bien",IF(H14&gt;=14,"Bien",IF(H14&gt;=12,"Assez bien",IF(H14&gt;=10,"Passable",""))))</f>
        <v/>
      </c>
      <c r="K14" s="10" t="str">
        <f aca="false">IF(H14&gt;=10,"Admis","Ajourné")</f>
        <v>Ajourné</v>
      </c>
    </row>
    <row r="15" customFormat="false" ht="15" hidden="false" customHeight="false" outlineLevel="0" collapsed="false">
      <c r="A15" s="6" t="n">
        <v>9</v>
      </c>
      <c r="B15" s="7" t="s">
        <v>22</v>
      </c>
      <c r="C15" s="8" t="n">
        <v>9.5</v>
      </c>
      <c r="D15" s="8" t="n">
        <v>9</v>
      </c>
      <c r="E15" s="8" t="n">
        <v>7.5</v>
      </c>
      <c r="F15" s="8" t="n">
        <v>12</v>
      </c>
      <c r="G15" s="8" t="n">
        <v>8</v>
      </c>
      <c r="H15" s="9" t="n">
        <f aca="false">ROUND(SUMPRODUCT(C15:G15,$C$4:$G$4)/SUM($C$4:$G$4),2)</f>
        <v>9.11</v>
      </c>
      <c r="I15" s="6" t="n">
        <f aca="false">RANK(H15,$H$7:$H$22,0)</f>
        <v>11</v>
      </c>
      <c r="J15" s="10" t="str">
        <f aca="false">IF(H15&gt;=16,"Très bien",IF(H15&gt;=14,"Bien",IF(H15&gt;=12,"Assez bien",IF(H15&gt;=10,"Passable",""))))</f>
        <v/>
      </c>
      <c r="K15" s="10" t="str">
        <f aca="false">IF(H15&gt;=10,"Admis","Ajourné")</f>
        <v>Ajourné</v>
      </c>
    </row>
    <row r="16" customFormat="false" ht="15" hidden="false" customHeight="false" outlineLevel="0" collapsed="false">
      <c r="A16" s="6" t="n">
        <v>10</v>
      </c>
      <c r="B16" s="7" t="s">
        <v>23</v>
      </c>
      <c r="C16" s="8" t="n">
        <v>17</v>
      </c>
      <c r="D16" s="8" t="n">
        <v>15.25</v>
      </c>
      <c r="E16" s="8" t="n">
        <v>16.25</v>
      </c>
      <c r="F16" s="8" t="n">
        <v>16</v>
      </c>
      <c r="G16" s="8" t="n">
        <v>16.25</v>
      </c>
      <c r="H16" s="9" t="n">
        <f aca="false">ROUND(SUMPRODUCT(C16:G16,$C$4:$G$4)/SUM($C$4:$G$4),2)</f>
        <v>16.21</v>
      </c>
      <c r="I16" s="6" t="n">
        <f aca="false">RANK(H16,$H$7:$H$22,0)</f>
        <v>2</v>
      </c>
      <c r="J16" s="10" t="str">
        <f aca="false">IF(H16&gt;=16,"Très bien",IF(H16&gt;=14,"Bien",IF(H16&gt;=12,"Assez bien",IF(H16&gt;=10,"Passable",""))))</f>
        <v>Très bien</v>
      </c>
      <c r="K16" s="10" t="str">
        <f aca="false">IF(H16&gt;=10,"Admis","Ajourné")</f>
        <v>Admis</v>
      </c>
    </row>
    <row r="17" customFormat="false" ht="15" hidden="false" customHeight="false" outlineLevel="0" collapsed="false">
      <c r="A17" s="6" t="n">
        <v>11</v>
      </c>
      <c r="B17" s="7" t="s">
        <v>24</v>
      </c>
      <c r="C17" s="8" t="n">
        <v>16.75</v>
      </c>
      <c r="D17" s="8" t="n">
        <v>11.75</v>
      </c>
      <c r="E17" s="8" t="n">
        <v>11.75</v>
      </c>
      <c r="F17" s="8" t="n">
        <v>10.75</v>
      </c>
      <c r="G17" s="8" t="n">
        <v>11.5</v>
      </c>
      <c r="H17" s="9" t="n">
        <f aca="false">ROUND(SUMPRODUCT(C17:G17,$C$4:$G$4)/SUM($C$4:$G$4),2)</f>
        <v>13</v>
      </c>
      <c r="I17" s="6" t="n">
        <f aca="false">RANK(H17,$H$7:$H$22,0)</f>
        <v>7</v>
      </c>
      <c r="J17" s="10" t="str">
        <f aca="false">IF(H17&gt;=16,"Très bien",IF(H17&gt;=14,"Bien",IF(H17&gt;=12,"Assez bien",IF(H17&gt;=10,"Passable",""))))</f>
        <v>Assez bien</v>
      </c>
      <c r="K17" s="10" t="str">
        <f aca="false">IF(H17&gt;=10,"Admis","Ajourné")</f>
        <v>Admis</v>
      </c>
    </row>
    <row r="18" customFormat="false" ht="15" hidden="false" customHeight="false" outlineLevel="0" collapsed="false">
      <c r="A18" s="6" t="n">
        <v>12</v>
      </c>
      <c r="B18" s="7" t="s">
        <v>25</v>
      </c>
      <c r="C18" s="8" t="n">
        <v>15.75</v>
      </c>
      <c r="D18" s="8" t="n">
        <v>11</v>
      </c>
      <c r="E18" s="8" t="n">
        <v>14</v>
      </c>
      <c r="F18" s="8" t="n">
        <v>14</v>
      </c>
      <c r="G18" s="8" t="n">
        <v>16</v>
      </c>
      <c r="H18" s="9" t="n">
        <f aca="false">ROUND(SUMPRODUCT(C18:G18,$C$4:$G$4)/SUM($C$4:$G$4),2)</f>
        <v>14.14</v>
      </c>
      <c r="I18" s="6" t="n">
        <f aca="false">RANK(H18,$H$7:$H$22,0)</f>
        <v>6</v>
      </c>
      <c r="J18" s="10" t="str">
        <f aca="false">IF(H18&gt;=16,"Très bien",IF(H18&gt;=14,"Bien",IF(H18&gt;=12,"Assez bien",IF(H18&gt;=10,"Passable",""))))</f>
        <v>Bien</v>
      </c>
      <c r="K18" s="10" t="str">
        <f aca="false">IF(H18&gt;=10,"Admis","Ajourné")</f>
        <v>Admis</v>
      </c>
    </row>
    <row r="19" customFormat="false" ht="15" hidden="false" customHeight="false" outlineLevel="0" collapsed="false">
      <c r="A19" s="6" t="n">
        <v>13</v>
      </c>
      <c r="B19" s="7" t="s">
        <v>26</v>
      </c>
      <c r="C19" s="8" t="n">
        <v>19.5</v>
      </c>
      <c r="D19" s="8" t="n">
        <v>14.75</v>
      </c>
      <c r="E19" s="8" t="n">
        <v>16.5</v>
      </c>
      <c r="F19" s="8" t="n">
        <v>11.25</v>
      </c>
      <c r="G19" s="8" t="n">
        <v>15</v>
      </c>
      <c r="H19" s="9" t="n">
        <f aca="false">ROUND(SUMPRODUCT(C19:G19,$C$4:$G$4)/SUM($C$4:$G$4),2)</f>
        <v>16.02</v>
      </c>
      <c r="I19" s="6" t="n">
        <f aca="false">RANK(H19,$H$7:$H$22,0)</f>
        <v>3</v>
      </c>
      <c r="J19" s="10" t="str">
        <f aca="false">IF(H19&gt;=16,"Très bien",IF(H19&gt;=14,"Bien",IF(H19&gt;=12,"Assez bien",IF(H19&gt;=10,"Passable",""))))</f>
        <v>Très bien</v>
      </c>
      <c r="K19" s="10" t="str">
        <f aca="false">IF(H19&gt;=10,"Admis","Ajourné")</f>
        <v>Admis</v>
      </c>
    </row>
    <row r="20" customFormat="false" ht="15" hidden="false" customHeight="false" outlineLevel="0" collapsed="false">
      <c r="A20" s="6" t="n">
        <v>14</v>
      </c>
      <c r="B20" s="7" t="s">
        <v>27</v>
      </c>
      <c r="C20" s="8" t="n">
        <v>10.5</v>
      </c>
      <c r="D20" s="8" t="n">
        <v>11.75</v>
      </c>
      <c r="E20" s="8" t="n">
        <v>12.5</v>
      </c>
      <c r="F20" s="8" t="n">
        <v>14</v>
      </c>
      <c r="G20" s="8" t="n">
        <v>12.5</v>
      </c>
      <c r="H20" s="9" t="n">
        <f aca="false">ROUND(SUMPRODUCT(C20:G20,$C$4:$G$4)/SUM($C$4:$G$4),2)</f>
        <v>11.98</v>
      </c>
      <c r="I20" s="6" t="n">
        <f aca="false">RANK(H20,$H$7:$H$22,0)</f>
        <v>8</v>
      </c>
      <c r="J20" s="10" t="str">
        <f aca="false">IF(H20&gt;=16,"Très bien",IF(H20&gt;=14,"Bien",IF(H20&gt;=12,"Assez bien",IF(H20&gt;=10,"Passable",""))))</f>
        <v>Passable</v>
      </c>
      <c r="K20" s="10" t="str">
        <f aca="false">IF(H20&gt;=10,"Admis","Ajourné")</f>
        <v>Admis</v>
      </c>
    </row>
    <row r="21" customFormat="false" ht="15" hidden="false" customHeight="false" outlineLevel="0" collapsed="false">
      <c r="A21" s="6" t="n">
        <v>15</v>
      </c>
      <c r="B21" s="7" t="s">
        <v>28</v>
      </c>
      <c r="C21" s="8" t="n">
        <v>7.75</v>
      </c>
      <c r="D21" s="8" t="n">
        <v>4.5</v>
      </c>
      <c r="E21" s="8" t="n">
        <v>4.75</v>
      </c>
      <c r="F21" s="8" t="n">
        <v>11.25</v>
      </c>
      <c r="G21" s="8" t="n">
        <v>15</v>
      </c>
      <c r="H21" s="9" t="n">
        <f aca="false">ROUND(SUMPRODUCT(C21:G21,$C$4:$G$4)/SUM($C$4:$G$4),2)</f>
        <v>7.95</v>
      </c>
      <c r="I21" s="6" t="n">
        <f aca="false">RANK(H21,$H$7:$H$22,0)</f>
        <v>15</v>
      </c>
      <c r="J21" s="10" t="str">
        <f aca="false">IF(H21&gt;=16,"Très bien",IF(H21&gt;=14,"Bien",IF(H21&gt;=12,"Assez bien",IF(H21&gt;=10,"Passable",""))))</f>
        <v/>
      </c>
      <c r="K21" s="10" t="str">
        <f aca="false">IF(H21&gt;=10,"Admis","Ajourné")</f>
        <v>Ajourné</v>
      </c>
    </row>
    <row r="22" customFormat="false" ht="15" hidden="false" customHeight="false" outlineLevel="0" collapsed="false">
      <c r="A22" s="6" t="n">
        <v>16</v>
      </c>
      <c r="B22" s="7" t="s">
        <v>29</v>
      </c>
      <c r="C22" s="8" t="n">
        <v>10.25</v>
      </c>
      <c r="D22" s="8" t="n">
        <v>11</v>
      </c>
      <c r="E22" s="8" t="n">
        <v>12.25</v>
      </c>
      <c r="F22" s="8" t="n">
        <v>11.25</v>
      </c>
      <c r="G22" s="8" t="n">
        <v>12</v>
      </c>
      <c r="H22" s="9" t="n">
        <f aca="false">ROUND(SUMPRODUCT(C22:G22,$C$4:$G$4)/SUM($C$4:$G$4),2)</f>
        <v>11.23</v>
      </c>
      <c r="I22" s="6" t="n">
        <f aca="false">RANK(H22,$H$7:$H$22,0)</f>
        <v>9</v>
      </c>
      <c r="J22" s="10" t="str">
        <f aca="false">IF(H22&gt;=16,"Très bien",IF(H22&gt;=14,"Bien",IF(H22&gt;=12,"Assez bien",IF(H22&gt;=10,"Passable",""))))</f>
        <v>Passable</v>
      </c>
      <c r="K22" s="10" t="str">
        <f aca="false">IF(H22&gt;=10,"Admis","Ajourné")</f>
        <v>Admis</v>
      </c>
    </row>
    <row r="24" customFormat="false" ht="15" hidden="false" customHeight="false" outlineLevel="0" collapsed="false">
      <c r="B24" s="3" t="s">
        <v>30</v>
      </c>
      <c r="C24" s="11" t="n">
        <f aca="false">ROUND(AVERAGE(H7:H22),2)</f>
        <v>11.88</v>
      </c>
    </row>
    <row r="25" customFormat="false" ht="15" hidden="false" customHeight="false" outlineLevel="0" collapsed="false">
      <c r="B25" s="3" t="s">
        <v>31</v>
      </c>
      <c r="C25" s="11" t="n">
        <f aca="false">MAX(H7:H22)</f>
        <v>16.96</v>
      </c>
    </row>
    <row r="26" customFormat="false" ht="15" hidden="false" customHeight="false" outlineLevel="0" collapsed="false">
      <c r="B26" s="3" t="s">
        <v>32</v>
      </c>
      <c r="C26" s="11" t="n">
        <f aca="false">MIN(H7:H22)</f>
        <v>7.63</v>
      </c>
    </row>
    <row r="27" customFormat="false" ht="15" hidden="false" customHeight="false" outlineLevel="0" collapsed="false">
      <c r="B27" s="3" t="s">
        <v>33</v>
      </c>
      <c r="C27" s="12" t="n">
        <f aca="false">COUNTIF(K7:K22,"Admis")</f>
        <v>10</v>
      </c>
    </row>
    <row r="28" customFormat="false" ht="15" hidden="false" customHeight="false" outlineLevel="0" collapsed="false">
      <c r="B28" s="3" t="s">
        <v>34</v>
      </c>
      <c r="C28" s="13" t="n">
        <f aca="false">COUNTIF(K7:K22,"Admis")/COUNTA(B7:B22)</f>
        <v>0.625</v>
      </c>
    </row>
    <row r="29" customFormat="false" ht="15" hidden="false" customHeight="false" outlineLevel="0" collapsed="false">
      <c r="B29" s="3" t="s">
        <v>35</v>
      </c>
      <c r="C29" s="12" t="str">
        <f aca="false">INDEX(B7:B22,MATCH(MAX(H7:H22),H7:H22,0))</f>
        <v>Amine Exemple</v>
      </c>
    </row>
    <row r="31" customFormat="false" ht="15" hidden="false" customHeight="false" outlineLevel="0" collapsed="false">
      <c r="B31" s="14" t="s">
        <v>36</v>
      </c>
      <c r="C31" s="15" t="s">
        <v>37</v>
      </c>
      <c r="D31" s="16" t="s">
        <v>38</v>
      </c>
    </row>
  </sheetData>
  <mergeCells count="2">
    <mergeCell ref="A1:K1"/>
    <mergeCell ref="A2:K2"/>
  </mergeCells>
  <conditionalFormatting sqref="C7:G22">
    <cfRule type="cellIs" priority="2" operator="lessThan" aboveAverage="0" equalAverage="0" bottom="0" percent="0" rank="0" text="" dxfId="0">
      <formula>10</formula>
    </cfRule>
  </conditionalFormatting>
  <conditionalFormatting sqref="K7:K22">
    <cfRule type="cellIs" priority="3" operator="equal" aboveAverage="0" equalAverage="0" bottom="0" percent="0" rank="0" text="" dxfId="1">
      <formula>"Admis"</formula>
    </cfRule>
    <cfRule type="cellIs" priority="4" operator="equal" aboveAverage="0" equalAverage="0" bottom="0" percent="0" rank="0" text="" dxfId="2">
      <formula>"Ajourné"</formula>
    </cfRule>
  </conditionalFormatting>
  <dataValidations count="1">
    <dataValidation allowBlank="false" error="La note doit être entre 0 et 20." errorStyle="stop" operator="between" showDropDown="false" showErrorMessage="true" showInputMessage="false" sqref="C7:G22" type="decimal">
      <formula1>0</formula1>
      <formula2>20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2026-10-05T01:05:55Z</dcterms:created>
  <dc:creator>openpyxl</dc:creator>
  <dc:description/>
  <dc:language>en-US</dc:language>
  <cp:lastModifiedBy/>
  <dcterms:modified xsi:type="dcterms:W3CDTF">2026-10-05T01:06:03Z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