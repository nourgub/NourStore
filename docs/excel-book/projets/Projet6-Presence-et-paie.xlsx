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sence" sheetId="1" state="visible" r:id="rId3"/>
    <sheet name="Pa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<sst xmlns="http://schemas.openxmlformats.org/spreadsheetml/2006/main" count="242" uniqueCount="82">
  <si>
    <t xml:space="preserve">Feuille de présence · Octobre 2026</t>
  </si>
  <si>
    <t xml:space="preserve">Nourix Academy · Projet 6 · Codes : P = présent, A = absent, C = congé, M = maladie. Week-ends grisés.</t>
  </si>
  <si>
    <t xml:space="preserve">Code</t>
  </si>
  <si>
    <t xml:space="preserve">Nom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</si>
  <si>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</si>
  <si>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</si>
  <si>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</si>
  <si>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</si>
  <si>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</si>
  <si>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</si>
  <si>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</si>
  <si>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</si>
  <si>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</si>
  <si>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</si>
  <si>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</si>
  <si>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</si>
  <si>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</si>
  <si>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</si>
  <si>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</si>
  <si>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</si>
  <si>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</si>
  <si>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</si>
  <si>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</si>
  <si>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</si>
  <si>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</si>
  <si>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</si>
  <si>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</si>
  <si>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</si>
  <si>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</si>
  <si>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</si>
  <si>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</si>
  <si>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</si>
  <si>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</si>
  <si>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</si>
  <si>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</si>
  <si>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P</t>
  </si>
  <si>
    <t xml:space="preserve">A</t>
  </si>
  <si>
    <t xml:space="preserve">C</t>
  </si>
  <si>
    <t xml:space="preserve">M</t>
  </si>
  <si>
    <t xml:space="preserve">Jours ouvrés</t>
  </si>
  <si>
    <t xml:space="preserve">J</t>
  </si>
  <si>
    <t xml:space="preserve">V</t>
  </si>
  <si>
    <t xml:space="preserve">S</t>
  </si>
  <si>
    <t xml:space="preserve">D</t>
  </si>
  <si>
    <t xml:space="preserve">L</t>
  </si>
  <si>
    <t xml:space="preserve">E01</t>
  </si>
  <si>
    <t xml:space="preserve">Employé Un</t>
  </si>
  <si>
    <t xml:space="preserve">E02</t>
  </si>
  <si>
    <t xml:space="preserve">Employé Deux</t>
  </si>
  <si>
    <t xml:space="preserve">E03</t>
  </si>
  <si>
    <t xml:space="preserve">Employé Trois</t>
  </si>
  <si>
    <t xml:space="preserve">E04</t>
  </si>
  <si>
    <t xml:space="preserve">Employé Quatre</t>
  </si>
  <si>
    <t xml:space="preserve">E05</t>
  </si>
  <si>
    <t xml:space="preserve">Employé Cinq</t>
  </si>
  <si>
    <t xml:space="preserve">E06</t>
  </si>
  <si>
    <t xml:space="preserve">Employé Six</t>
  </si>
  <si>
    <t xml:space="preserve">Week-end : vendredi et samedi (modifiez selon votre pays).</t>
  </si>
  <si>
    <t xml:space="preserve">Calcul de la paie · Octobre 2026</t>
  </si>
  <si>
    <t xml:space="preserve">Le salaire est proportionnel aux jours payés (présence + congés). Paramètres en bleu.</t>
  </si>
  <si>
    <t xml:space="preserve">Jours ouvrables du mois</t>
  </si>
  <si>
    <t xml:space="preserve">Prime par heure supplémentaire</t>
  </si>
  <si>
    <t xml:space="preserve">Taux de cotisations sociales</t>
  </si>
  <si>
    <t xml:space="preserve">Poste</t>
  </si>
  <si>
    <t xml:space="preserve">Salaire de base</t>
  </si>
  <si>
    <t xml:space="preserve">Jours payés</t>
  </si>
  <si>
    <t xml:space="preserve">Salaire du mois</t>
  </si>
  <si>
    <t xml:space="preserve">Heures sup.</t>
  </si>
  <si>
    <t xml:space="preserve">Brut</t>
  </si>
  <si>
    <t xml:space="preserve">Cotisations</t>
  </si>
  <si>
    <t xml:space="preserve">Net à payer</t>
  </si>
  <si>
    <t xml:space="preserve">Vendeur</t>
  </si>
  <si>
    <t xml:space="preserve">Caissière</t>
  </si>
  <si>
    <t xml:space="preserve">Magasinier</t>
  </si>
  <si>
    <t xml:space="preserve">Comptable</t>
  </si>
  <si>
    <t xml:space="preserve">Livreur</t>
  </si>
  <si>
    <t xml:space="preserve">Responsable</t>
  </si>
  <si>
    <t xml:space="preserve">TOTAL</t>
  </si>
  <si>
    <t xml:space="preserve">Exemple pédagogique : les règles réelles de paie (cotisations, impôt) dépendent de la loi de votre pays.</t>
  </si>
  <si>
    <t xml:space="preserve">Légende :</t>
  </si>
  <si>
    <t xml:space="preserve">Saisie (modifiable)</t>
  </si>
  <si>
    <t xml:space="preserve">Formule (ne pas modifier)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</si>
</sst>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217346"/>
        <bgColor rgb="FF008080"/>
      </patternFill>
    </fill>
    <fill>
      <patternFill patternType="solid">
        <fgColor rgb="FFFFF2CC"/>
        <bgColor rgb="FFFBF3DD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8CBAD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217346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F3D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3" min="3" style="0" width="3.6"/>
    <col collapsed="false" customWidth="true" hidden="false" outlineLevel="0" max="37" min="34" style="0" width="5"/>
    <col collapsed="false" customWidth="true" hidden="false" outlineLevel="0" max="38" min="3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</row>
    <row r="5" customFormat="false" ht="15" hidden="false" customHeight="false" outlineLevel="0" collapsed="false"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38</v>
      </c>
      <c r="I5" s="4" t="s">
        <v>38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38</v>
      </c>
      <c r="P5" s="4" t="s">
        <v>38</v>
      </c>
      <c r="Q5" s="4" t="s">
        <v>40</v>
      </c>
      <c r="R5" s="4" t="s">
        <v>41</v>
      </c>
      <c r="S5" s="4" t="s">
        <v>42</v>
      </c>
      <c r="T5" s="4" t="s">
        <v>43</v>
      </c>
      <c r="U5" s="4" t="s">
        <v>44</v>
      </c>
      <c r="V5" s="4" t="s">
        <v>38</v>
      </c>
      <c r="W5" s="4" t="s">
        <v>38</v>
      </c>
      <c r="X5" s="4" t="s">
        <v>40</v>
      </c>
      <c r="Y5" s="4" t="s">
        <v>41</v>
      </c>
      <c r="Z5" s="4" t="s">
        <v>42</v>
      </c>
      <c r="AA5" s="4" t="s">
        <v>43</v>
      </c>
      <c r="AB5" s="4" t="s">
        <v>44</v>
      </c>
      <c r="AC5" s="4" t="s">
        <v>38</v>
      </c>
      <c r="AD5" s="4" t="s">
        <v>38</v>
      </c>
      <c r="AE5" s="4" t="s">
        <v>40</v>
      </c>
      <c r="AF5" s="4" t="s">
        <v>41</v>
      </c>
      <c r="AG5" s="4" t="s">
        <v>42</v>
      </c>
    </row>
    <row r="6" customFormat="false" ht="15" hidden="false" customHeight="false" outlineLevel="0" collapsed="false">
      <c r="A6" s="5" t="s">
        <v>45</v>
      </c>
      <c r="B6" s="6" t="s">
        <v>46</v>
      </c>
      <c r="C6" s="7" t="s">
        <v>35</v>
      </c>
      <c r="D6" s="8"/>
      <c r="E6" s="8"/>
      <c r="F6" s="7" t="s">
        <v>35</v>
      </c>
      <c r="G6" s="7" t="s">
        <v>35</v>
      </c>
      <c r="H6" s="7" t="s">
        <v>35</v>
      </c>
      <c r="I6" s="7" t="s">
        <v>35</v>
      </c>
      <c r="J6" s="7" t="s">
        <v>35</v>
      </c>
      <c r="K6" s="8"/>
      <c r="L6" s="8"/>
      <c r="M6" s="7" t="s">
        <v>35</v>
      </c>
      <c r="N6" s="7" t="s">
        <v>35</v>
      </c>
      <c r="O6" s="7" t="s">
        <v>35</v>
      </c>
      <c r="P6" s="7" t="s">
        <v>35</v>
      </c>
      <c r="Q6" s="7" t="s">
        <v>35</v>
      </c>
      <c r="R6" s="8"/>
      <c r="S6" s="8"/>
      <c r="T6" s="7" t="s">
        <v>35</v>
      </c>
      <c r="U6" s="7" t="s">
        <v>35</v>
      </c>
      <c r="V6" s="7" t="s">
        <v>35</v>
      </c>
      <c r="W6" s="7" t="s">
        <v>35</v>
      </c>
      <c r="X6" s="7" t="s">
        <v>35</v>
      </c>
      <c r="Y6" s="8"/>
      <c r="Z6" s="8"/>
      <c r="AA6" s="7" t="s">
        <v>35</v>
      </c>
      <c r="AB6" s="7" t="s">
        <v>35</v>
      </c>
      <c r="AC6" s="7" t="s">
        <v>35</v>
      </c>
      <c r="AD6" s="7" t="s">
        <v>35</v>
      </c>
      <c r="AE6" s="7" t="s">
        <v>38</v>
      </c>
      <c r="AF6" s="8"/>
      <c r="AG6" s="8"/>
      <c r="AH6" s="9" t="n">
        <f aca="false">COUNTIF(C6:AG6,"P")</f>
        <v>20</v>
      </c>
      <c r="AI6" s="10" t="n">
        <f aca="false">COUNTIF(C6:AG6,"A")</f>
        <v>0</v>
      </c>
      <c r="AJ6" s="10" t="n">
        <f aca="false">COUNTIF(C6:AG6,"C")</f>
        <v>0</v>
      </c>
      <c r="AK6" s="10" t="n">
        <f aca="false">COUNTIF(C6:AG6,"M")</f>
        <v>1</v>
      </c>
      <c r="AL6" s="10" t="n">
        <f aca="false">AH6+AI6+AJ6+AK6</f>
        <v>21</v>
      </c>
    </row>
    <row r="7" customFormat="false" ht="15" hidden="false" customHeight="false" outlineLevel="0" collapsed="false">
      <c r="A7" s="5" t="s">
        <v>47</v>
      </c>
      <c r="B7" s="6" t="s">
        <v>48</v>
      </c>
      <c r="C7" s="7" t="s">
        <v>37</v>
      </c>
      <c r="D7" s="8"/>
      <c r="E7" s="8"/>
      <c r="F7" s="7" t="s">
        <v>35</v>
      </c>
      <c r="G7" s="7" t="s">
        <v>35</v>
      </c>
      <c r="H7" s="7" t="s">
        <v>35</v>
      </c>
      <c r="I7" s="7" t="s">
        <v>35</v>
      </c>
      <c r="J7" s="7" t="s">
        <v>35</v>
      </c>
      <c r="K7" s="8"/>
      <c r="L7" s="8"/>
      <c r="M7" s="7" t="s">
        <v>35</v>
      </c>
      <c r="N7" s="7" t="s">
        <v>35</v>
      </c>
      <c r="O7" s="7" t="s">
        <v>35</v>
      </c>
      <c r="P7" s="7" t="s">
        <v>35</v>
      </c>
      <c r="Q7" s="7" t="s">
        <v>35</v>
      </c>
      <c r="R7" s="8"/>
      <c r="S7" s="8"/>
      <c r="T7" s="7" t="s">
        <v>35</v>
      </c>
      <c r="U7" s="7" t="s">
        <v>35</v>
      </c>
      <c r="V7" s="7" t="s">
        <v>35</v>
      </c>
      <c r="W7" s="7" t="s">
        <v>35</v>
      </c>
      <c r="X7" s="7" t="s">
        <v>35</v>
      </c>
      <c r="Y7" s="8"/>
      <c r="Z7" s="8"/>
      <c r="AA7" s="7" t="s">
        <v>35</v>
      </c>
      <c r="AB7" s="7" t="s">
        <v>35</v>
      </c>
      <c r="AC7" s="7" t="s">
        <v>35</v>
      </c>
      <c r="AD7" s="7" t="s">
        <v>36</v>
      </c>
      <c r="AE7" s="7" t="s">
        <v>35</v>
      </c>
      <c r="AF7" s="8"/>
      <c r="AG7" s="8"/>
      <c r="AH7" s="9" t="n">
        <f aca="false">COUNTIF(C7:AG7,"P")</f>
        <v>19</v>
      </c>
      <c r="AI7" s="10" t="n">
        <f aca="false">COUNTIF(C7:AG7,"A")</f>
        <v>1</v>
      </c>
      <c r="AJ7" s="10" t="n">
        <f aca="false">COUNTIF(C7:AG7,"C")</f>
        <v>1</v>
      </c>
      <c r="AK7" s="10" t="n">
        <f aca="false">COUNTIF(C7:AG7,"M")</f>
        <v>0</v>
      </c>
      <c r="AL7" s="10" t="n">
        <f aca="false">AH7+AI7+AJ7+AK7</f>
        <v>21</v>
      </c>
    </row>
    <row r="8" customFormat="false" ht="15" hidden="false" customHeight="false" outlineLevel="0" collapsed="false">
      <c r="A8" s="5" t="s">
        <v>49</v>
      </c>
      <c r="B8" s="6" t="s">
        <v>50</v>
      </c>
      <c r="C8" s="7" t="s">
        <v>35</v>
      </c>
      <c r="D8" s="8"/>
      <c r="E8" s="8"/>
      <c r="F8" s="7" t="s">
        <v>35</v>
      </c>
      <c r="G8" s="7" t="s">
        <v>35</v>
      </c>
      <c r="H8" s="7" t="s">
        <v>35</v>
      </c>
      <c r="I8" s="7" t="s">
        <v>35</v>
      </c>
      <c r="J8" s="7" t="s">
        <v>35</v>
      </c>
      <c r="K8" s="8"/>
      <c r="L8" s="8"/>
      <c r="M8" s="7" t="s">
        <v>35</v>
      </c>
      <c r="N8" s="7" t="s">
        <v>35</v>
      </c>
      <c r="O8" s="7" t="s">
        <v>35</v>
      </c>
      <c r="P8" s="7" t="s">
        <v>35</v>
      </c>
      <c r="Q8" s="7" t="s">
        <v>35</v>
      </c>
      <c r="R8" s="8"/>
      <c r="S8" s="8"/>
      <c r="T8" s="7" t="s">
        <v>35</v>
      </c>
      <c r="U8" s="7" t="s">
        <v>35</v>
      </c>
      <c r="V8" s="7" t="s">
        <v>35</v>
      </c>
      <c r="W8" s="7" t="s">
        <v>35</v>
      </c>
      <c r="X8" s="7" t="s">
        <v>35</v>
      </c>
      <c r="Y8" s="8"/>
      <c r="Z8" s="8"/>
      <c r="AA8" s="7" t="s">
        <v>35</v>
      </c>
      <c r="AB8" s="7" t="s">
        <v>35</v>
      </c>
      <c r="AC8" s="7" t="s">
        <v>35</v>
      </c>
      <c r="AD8" s="7" t="s">
        <v>35</v>
      </c>
      <c r="AE8" s="7" t="s">
        <v>35</v>
      </c>
      <c r="AF8" s="8"/>
      <c r="AG8" s="8"/>
      <c r="AH8" s="9" t="n">
        <f aca="false">COUNTIF(C8:AG8,"P")</f>
        <v>21</v>
      </c>
      <c r="AI8" s="10" t="n">
        <f aca="false">COUNTIF(C8:AG8,"A")</f>
        <v>0</v>
      </c>
      <c r="AJ8" s="10" t="n">
        <f aca="false">COUNTIF(C8:AG8,"C")</f>
        <v>0</v>
      </c>
      <c r="AK8" s="10" t="n">
        <f aca="false">COUNTIF(C8:AG8,"M")</f>
        <v>0</v>
      </c>
      <c r="AL8" s="10" t="n">
        <f aca="false">AH8+AI8+AJ8+AK8</f>
        <v>21</v>
      </c>
    </row>
    <row r="9" customFormat="false" ht="15" hidden="false" customHeight="false" outlineLevel="0" collapsed="false">
      <c r="A9" s="5" t="s">
        <v>51</v>
      </c>
      <c r="B9" s="6" t="s">
        <v>52</v>
      </c>
      <c r="C9" s="7" t="s">
        <v>35</v>
      </c>
      <c r="D9" s="8"/>
      <c r="E9" s="8"/>
      <c r="F9" s="7" t="s">
        <v>35</v>
      </c>
      <c r="G9" s="7" t="s">
        <v>35</v>
      </c>
      <c r="H9" s="7" t="s">
        <v>35</v>
      </c>
      <c r="I9" s="7" t="s">
        <v>35</v>
      </c>
      <c r="J9" s="7" t="s">
        <v>35</v>
      </c>
      <c r="K9" s="8"/>
      <c r="L9" s="8"/>
      <c r="M9" s="7" t="s">
        <v>35</v>
      </c>
      <c r="N9" s="7" t="s">
        <v>35</v>
      </c>
      <c r="O9" s="7" t="s">
        <v>35</v>
      </c>
      <c r="P9" s="7" t="s">
        <v>35</v>
      </c>
      <c r="Q9" s="7" t="s">
        <v>35</v>
      </c>
      <c r="R9" s="8"/>
      <c r="S9" s="8"/>
      <c r="T9" s="7" t="s">
        <v>38</v>
      </c>
      <c r="U9" s="7" t="s">
        <v>35</v>
      </c>
      <c r="V9" s="7" t="s">
        <v>35</v>
      </c>
      <c r="W9" s="7" t="s">
        <v>36</v>
      </c>
      <c r="X9" s="7" t="s">
        <v>35</v>
      </c>
      <c r="Y9" s="8"/>
      <c r="Z9" s="8"/>
      <c r="AA9" s="7" t="s">
        <v>35</v>
      </c>
      <c r="AB9" s="7" t="s">
        <v>35</v>
      </c>
      <c r="AC9" s="7" t="s">
        <v>35</v>
      </c>
      <c r="AD9" s="7" t="s">
        <v>35</v>
      </c>
      <c r="AE9" s="7" t="s">
        <v>35</v>
      </c>
      <c r="AF9" s="8"/>
      <c r="AG9" s="8"/>
      <c r="AH9" s="9" t="n">
        <f aca="false">COUNTIF(C9:AG9,"P")</f>
        <v>19</v>
      </c>
      <c r="AI9" s="10" t="n">
        <f aca="false">COUNTIF(C9:AG9,"A")</f>
        <v>1</v>
      </c>
      <c r="AJ9" s="10" t="n">
        <f aca="false">COUNTIF(C9:AG9,"C")</f>
        <v>0</v>
      </c>
      <c r="AK9" s="10" t="n">
        <f aca="false">COUNTIF(C9:AG9,"M")</f>
        <v>1</v>
      </c>
      <c r="AL9" s="10" t="n">
        <f aca="false">AH9+AI9+AJ9+AK9</f>
        <v>21</v>
      </c>
    </row>
    <row r="10" customFormat="false" ht="15" hidden="false" customHeight="false" outlineLevel="0" collapsed="false">
      <c r="A10" s="5" t="s">
        <v>53</v>
      </c>
      <c r="B10" s="6" t="s">
        <v>54</v>
      </c>
      <c r="C10" s="7" t="s">
        <v>35</v>
      </c>
      <c r="D10" s="8"/>
      <c r="E10" s="8"/>
      <c r="F10" s="7" t="s">
        <v>35</v>
      </c>
      <c r="G10" s="7" t="s">
        <v>35</v>
      </c>
      <c r="H10" s="7" t="s">
        <v>35</v>
      </c>
      <c r="I10" s="7" t="s">
        <v>35</v>
      </c>
      <c r="J10" s="7" t="s">
        <v>35</v>
      </c>
      <c r="K10" s="8"/>
      <c r="L10" s="8"/>
      <c r="M10" s="7" t="s">
        <v>35</v>
      </c>
      <c r="N10" s="7" t="s">
        <v>35</v>
      </c>
      <c r="O10" s="7" t="s">
        <v>35</v>
      </c>
      <c r="P10" s="7" t="s">
        <v>35</v>
      </c>
      <c r="Q10" s="7" t="s">
        <v>35</v>
      </c>
      <c r="R10" s="8"/>
      <c r="S10" s="8"/>
      <c r="T10" s="7" t="s">
        <v>38</v>
      </c>
      <c r="U10" s="7" t="s">
        <v>35</v>
      </c>
      <c r="V10" s="7" t="s">
        <v>35</v>
      </c>
      <c r="W10" s="7" t="s">
        <v>35</v>
      </c>
      <c r="X10" s="7" t="s">
        <v>35</v>
      </c>
      <c r="Y10" s="8"/>
      <c r="Z10" s="8"/>
      <c r="AA10" s="7" t="s">
        <v>35</v>
      </c>
      <c r="AB10" s="7" t="s">
        <v>35</v>
      </c>
      <c r="AC10" s="7" t="s">
        <v>35</v>
      </c>
      <c r="AD10" s="7" t="s">
        <v>35</v>
      </c>
      <c r="AE10" s="7" t="s">
        <v>35</v>
      </c>
      <c r="AF10" s="8"/>
      <c r="AG10" s="8"/>
      <c r="AH10" s="9" t="n">
        <f aca="false">COUNTIF(C10:AG10,"P")</f>
        <v>20</v>
      </c>
      <c r="AI10" s="10" t="n">
        <f aca="false">COUNTIF(C10:AG10,"A")</f>
        <v>0</v>
      </c>
      <c r="AJ10" s="10" t="n">
        <f aca="false">COUNTIF(C10:AG10,"C")</f>
        <v>0</v>
      </c>
      <c r="AK10" s="10" t="n">
        <f aca="false">COUNTIF(C10:AG10,"M")</f>
        <v>1</v>
      </c>
      <c r="AL10" s="10" t="n">
        <f aca="false">AH10+AI10+AJ10+AK10</f>
        <v>21</v>
      </c>
    </row>
    <row r="11" customFormat="false" ht="15" hidden="false" customHeight="false" outlineLevel="0" collapsed="false">
      <c r="A11" s="5" t="s">
        <v>55</v>
      </c>
      <c r="B11" s="6" t="s">
        <v>56</v>
      </c>
      <c r="C11" s="7" t="s">
        <v>35</v>
      </c>
      <c r="D11" s="8"/>
      <c r="E11" s="8"/>
      <c r="F11" s="7" t="s">
        <v>35</v>
      </c>
      <c r="G11" s="7" t="s">
        <v>35</v>
      </c>
      <c r="H11" s="7" t="s">
        <v>37</v>
      </c>
      <c r="I11" s="7" t="s">
        <v>35</v>
      </c>
      <c r="J11" s="7" t="s">
        <v>35</v>
      </c>
      <c r="K11" s="8"/>
      <c r="L11" s="8"/>
      <c r="M11" s="7" t="s">
        <v>35</v>
      </c>
      <c r="N11" s="7" t="s">
        <v>35</v>
      </c>
      <c r="O11" s="7" t="s">
        <v>35</v>
      </c>
      <c r="P11" s="7" t="s">
        <v>35</v>
      </c>
      <c r="Q11" s="7" t="s">
        <v>35</v>
      </c>
      <c r="R11" s="8"/>
      <c r="S11" s="8"/>
      <c r="T11" s="7" t="s">
        <v>35</v>
      </c>
      <c r="U11" s="7" t="s">
        <v>35</v>
      </c>
      <c r="V11" s="7" t="s">
        <v>35</v>
      </c>
      <c r="W11" s="7" t="s">
        <v>35</v>
      </c>
      <c r="X11" s="7" t="s">
        <v>35</v>
      </c>
      <c r="Y11" s="8"/>
      <c r="Z11" s="8"/>
      <c r="AA11" s="7" t="s">
        <v>35</v>
      </c>
      <c r="AB11" s="7" t="s">
        <v>36</v>
      </c>
      <c r="AC11" s="7" t="s">
        <v>35</v>
      </c>
      <c r="AD11" s="7" t="s">
        <v>35</v>
      </c>
      <c r="AE11" s="7" t="s">
        <v>35</v>
      </c>
      <c r="AF11" s="8"/>
      <c r="AG11" s="8"/>
      <c r="AH11" s="9" t="n">
        <f aca="false">COUNTIF(C11:AG11,"P")</f>
        <v>19</v>
      </c>
      <c r="AI11" s="10" t="n">
        <f aca="false">COUNTIF(C11:AG11,"A")</f>
        <v>1</v>
      </c>
      <c r="AJ11" s="10" t="n">
        <f aca="false">COUNTIF(C11:AG11,"C")</f>
        <v>1</v>
      </c>
      <c r="AK11" s="10" t="n">
        <f aca="false">COUNTIF(C11:AG11,"M")</f>
        <v>0</v>
      </c>
      <c r="AL11" s="10" t="n">
        <f aca="false">AH11+AI11+AJ11+AK11</f>
        <v>21</v>
      </c>
    </row>
    <row r="13" customFormat="false" ht="15" hidden="false" customHeight="false" outlineLevel="0" collapsed="false">
      <c r="B13" s="11" t="s">
        <v>57</v>
      </c>
    </row>
  </sheetData>
  <mergeCells count="2">
    <mergeCell ref="A1:AL1"/>
    <mergeCell ref="A2:AL2"/>
  </mergeCells>
  <conditionalFormatting sqref="C6:AG11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"C"</formula>
    </cfRule>
  </conditionalFormatting>
  <dataValidations count="1">
    <dataValidation allowBlank="true" errorStyle="stop" operator="between" showDropDown="false" showErrorMessage="false" showInputMessage="false" sqref="C6:AG11" type="list">
      <formula1>"P,A,C,M"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5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2" t="s">
        <v>60</v>
      </c>
      <c r="D4" s="13" t="n">
        <f aca="false">COUNTA(Présence!C6:AG6)</f>
        <v>21</v>
      </c>
    </row>
    <row r="5" customFormat="false" ht="15" hidden="false" customHeight="false" outlineLevel="0" collapsed="false">
      <c r="B5" s="12" t="s">
        <v>61</v>
      </c>
      <c r="D5" s="14" t="n">
        <v>400</v>
      </c>
    </row>
    <row r="6" customFormat="false" ht="15" hidden="false" customHeight="false" outlineLevel="0" collapsed="false">
      <c r="B6" s="12" t="s">
        <v>62</v>
      </c>
      <c r="D6" s="15" t="n">
        <v>0.09</v>
      </c>
    </row>
    <row r="8" customFormat="false" ht="26.85" hidden="false" customHeight="false" outlineLevel="0" collapsed="false">
      <c r="A8" s="3" t="s">
        <v>2</v>
      </c>
      <c r="B8" s="3" t="s">
        <v>3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67</v>
      </c>
      <c r="H8" s="3" t="s">
        <v>68</v>
      </c>
      <c r="I8" s="3" t="s">
        <v>69</v>
      </c>
      <c r="J8" s="3" t="s">
        <v>70</v>
      </c>
    </row>
    <row r="9" customFormat="false" ht="15" hidden="false" customHeight="false" outlineLevel="0" collapsed="false">
      <c r="A9" s="5" t="s">
        <v>45</v>
      </c>
      <c r="B9" s="6" t="str">
        <f aca="false">Présence!B6</f>
        <v>Employé Un</v>
      </c>
      <c r="C9" s="16" t="s">
        <v>71</v>
      </c>
      <c r="D9" s="14" t="n">
        <v>42000</v>
      </c>
      <c r="E9" s="10" t="n">
        <f aca="false">Présence!AH6+Présence!AJ6+Présence!AK6</f>
        <v>21</v>
      </c>
      <c r="F9" s="17" t="n">
        <f aca="false">IF($D$4=0,0,ROUND(D9/$D$4*E9,2))</f>
        <v>42000</v>
      </c>
      <c r="G9" s="18" t="n">
        <v>0</v>
      </c>
      <c r="H9" s="17" t="n">
        <f aca="false">F9+G9*$D$5</f>
        <v>42000</v>
      </c>
      <c r="I9" s="17" t="n">
        <f aca="false">ROUND(H9*$D$6,2)</f>
        <v>3780</v>
      </c>
      <c r="J9" s="19" t="n">
        <f aca="false">H9-I9</f>
        <v>38220</v>
      </c>
    </row>
    <row r="10" customFormat="false" ht="15" hidden="false" customHeight="false" outlineLevel="0" collapsed="false">
      <c r="A10" s="5" t="s">
        <v>47</v>
      </c>
      <c r="B10" s="6" t="str">
        <f aca="false">Présence!B7</f>
        <v>Employé Deux</v>
      </c>
      <c r="C10" s="16" t="s">
        <v>72</v>
      </c>
      <c r="D10" s="14" t="n">
        <v>38000</v>
      </c>
      <c r="E10" s="10" t="n">
        <f aca="false">Présence!AH7+Présence!AJ7+Présence!AK7</f>
        <v>20</v>
      </c>
      <c r="F10" s="17" t="n">
        <f aca="false">IF($D$4=0,0,ROUND(D10/$D$4*E10,2))</f>
        <v>36190.48</v>
      </c>
      <c r="G10" s="18" t="n">
        <v>6</v>
      </c>
      <c r="H10" s="17" t="n">
        <f aca="false">F10+G10*$D$5</f>
        <v>38590.48</v>
      </c>
      <c r="I10" s="17" t="n">
        <f aca="false">ROUND(H10*$D$6,2)</f>
        <v>3473.14</v>
      </c>
      <c r="J10" s="19" t="n">
        <f aca="false">H10-I10</f>
        <v>35117.34</v>
      </c>
    </row>
    <row r="11" customFormat="false" ht="15" hidden="false" customHeight="false" outlineLevel="0" collapsed="false">
      <c r="A11" s="5" t="s">
        <v>49</v>
      </c>
      <c r="B11" s="6" t="str">
        <f aca="false">Présence!B8</f>
        <v>Employé Trois</v>
      </c>
      <c r="C11" s="16" t="s">
        <v>73</v>
      </c>
      <c r="D11" s="14" t="n">
        <v>36000</v>
      </c>
      <c r="E11" s="10" t="n">
        <f aca="false">Présence!AH8+Présence!AJ8+Présence!AK8</f>
        <v>21</v>
      </c>
      <c r="F11" s="17" t="n">
        <f aca="false">IF($D$4=0,0,ROUND(D11/$D$4*E11,2))</f>
        <v>36000</v>
      </c>
      <c r="G11" s="18" t="n">
        <v>0</v>
      </c>
      <c r="H11" s="17" t="n">
        <f aca="false">F11+G11*$D$5</f>
        <v>36000</v>
      </c>
      <c r="I11" s="17" t="n">
        <f aca="false">ROUND(H11*$D$6,2)</f>
        <v>3240</v>
      </c>
      <c r="J11" s="19" t="n">
        <f aca="false">H11-I11</f>
        <v>32760</v>
      </c>
    </row>
    <row r="12" customFormat="false" ht="15" hidden="false" customHeight="false" outlineLevel="0" collapsed="false">
      <c r="A12" s="5" t="s">
        <v>51</v>
      </c>
      <c r="B12" s="6" t="str">
        <f aca="false">Présence!B9</f>
        <v>Employé Quatre</v>
      </c>
      <c r="C12" s="16" t="s">
        <v>74</v>
      </c>
      <c r="D12" s="14" t="n">
        <v>55000</v>
      </c>
      <c r="E12" s="10" t="n">
        <f aca="false">Présence!AH9+Présence!AJ9+Présence!AK9</f>
        <v>20</v>
      </c>
      <c r="F12" s="17" t="n">
        <f aca="false">IF($D$4=0,0,ROUND(D12/$D$4*E12,2))</f>
        <v>52380.95</v>
      </c>
      <c r="G12" s="18" t="n">
        <v>0</v>
      </c>
      <c r="H12" s="17" t="n">
        <f aca="false">F12+G12*$D$5</f>
        <v>52380.95</v>
      </c>
      <c r="I12" s="17" t="n">
        <f aca="false">ROUND(H12*$D$6,2)</f>
        <v>4714.29</v>
      </c>
      <c r="J12" s="19" t="n">
        <f aca="false">H12-I12</f>
        <v>47666.66</v>
      </c>
    </row>
    <row r="13" customFormat="false" ht="15" hidden="false" customHeight="false" outlineLevel="0" collapsed="false">
      <c r="A13" s="5" t="s">
        <v>53</v>
      </c>
      <c r="B13" s="6" t="str">
        <f aca="false">Présence!B10</f>
        <v>Employé Cinq</v>
      </c>
      <c r="C13" s="16" t="s">
        <v>75</v>
      </c>
      <c r="D13" s="14" t="n">
        <v>34000</v>
      </c>
      <c r="E13" s="10" t="n">
        <f aca="false">Présence!AH10+Présence!AJ10+Présence!AK10</f>
        <v>21</v>
      </c>
      <c r="F13" s="17" t="n">
        <f aca="false">IF($D$4=0,0,ROUND(D13/$D$4*E13,2))</f>
        <v>34000</v>
      </c>
      <c r="G13" s="18" t="n">
        <v>0</v>
      </c>
      <c r="H13" s="17" t="n">
        <f aca="false">F13+G13*$D$5</f>
        <v>34000</v>
      </c>
      <c r="I13" s="17" t="n">
        <f aca="false">ROUND(H13*$D$6,2)</f>
        <v>3060</v>
      </c>
      <c r="J13" s="19" t="n">
        <f aca="false">H13-I13</f>
        <v>30940</v>
      </c>
    </row>
    <row r="14" customFormat="false" ht="15" hidden="false" customHeight="false" outlineLevel="0" collapsed="false">
      <c r="A14" s="5" t="s">
        <v>55</v>
      </c>
      <c r="B14" s="6" t="str">
        <f aca="false">Présence!B11</f>
        <v>Employé Six</v>
      </c>
      <c r="C14" s="16" t="s">
        <v>76</v>
      </c>
      <c r="D14" s="14" t="n">
        <v>70000</v>
      </c>
      <c r="E14" s="10" t="n">
        <f aca="false">Présence!AH11+Présence!AJ11+Présence!AK11</f>
        <v>20</v>
      </c>
      <c r="F14" s="17" t="n">
        <f aca="false">IF($D$4=0,0,ROUND(D14/$D$4*E14,2))</f>
        <v>66666.67</v>
      </c>
      <c r="G14" s="18" t="n">
        <v>4</v>
      </c>
      <c r="H14" s="17" t="n">
        <f aca="false">F14+G14*$D$5</f>
        <v>68266.67</v>
      </c>
      <c r="I14" s="17" t="n">
        <f aca="false">ROUND(H14*$D$6,2)</f>
        <v>6144</v>
      </c>
      <c r="J14" s="19" t="n">
        <f aca="false">H14-I14</f>
        <v>62122.67</v>
      </c>
    </row>
    <row r="15" customFormat="false" ht="15" hidden="false" customHeight="false" outlineLevel="0" collapsed="false">
      <c r="A15" s="20" t="s">
        <v>77</v>
      </c>
      <c r="B15" s="21"/>
      <c r="C15" s="21"/>
      <c r="D15" s="22" t="n">
        <f aca="false">SUM(D9:D14)</f>
        <v>275000</v>
      </c>
      <c r="E15" s="21"/>
      <c r="F15" s="22" t="n">
        <f aca="false">SUM(F9:F14)</f>
        <v>267238.1</v>
      </c>
      <c r="G15" s="21"/>
      <c r="H15" s="22" t="n">
        <f aca="false">SUM(H9:H14)</f>
        <v>271238.1</v>
      </c>
      <c r="I15" s="22" t="n">
        <f aca="false">SUM(I9:I14)</f>
        <v>24411.43</v>
      </c>
      <c r="J15" s="22" t="n">
        <f aca="false">SUM(J9:J14)</f>
        <v>246826.67</v>
      </c>
    </row>
    <row r="17" customFormat="false" ht="15" hidden="false" customHeight="false" outlineLevel="0" collapsed="false">
      <c r="B17" s="11" t="s">
        <v>78</v>
      </c>
    </row>
    <row r="19" customFormat="false" ht="15" hidden="false" customHeight="false" outlineLevel="0" collapsed="false">
      <c r="B19" s="23" t="s">
        <v>79</v>
      </c>
      <c r="C19" s="24" t="s">
        <v>80</v>
      </c>
      <c r="D19" s="25" t="s">
        <v>81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