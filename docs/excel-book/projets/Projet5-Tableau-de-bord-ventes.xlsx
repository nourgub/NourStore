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bord" sheetId="1" state="visible" r:id="rId3"/>
    <sheet name="Donné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<sst xmlns="http://schemas.openxmlformats.org/spreadsheetml/2006/main" count="499" uniqueCount="46">
  <si>
    <t xml:space="preserve">Tableau de bord des ventes 2026</t>
  </si>
  <si>
    <t xml:space="preserve">Nourix Academy · Projet 5 · Tout se calcule depuis la feuille « Données ». Choisissez une région en C4.</t>
  </si>
  <si>
    <t xml:space="preserve">Région :</t>
  </si>
  <si>
    <t xml:space="preserve">Toutes</t>
  </si>
  <si>
    <t xml:space="preserve">Chiffre d’affaires</t>
  </si>
  <si>
    <t xml:space="preserve">Nombre de ventes</t>
  </si>
  <si>
    <t xml:space="preserve">Quantité vendue</t>
  </si>
  <si>
    <t xml:space="preserve">Vente moyenne</t>
  </si>
  <si>
    <t xml:space="preserve">Mois</t>
  </si>
  <si>
    <t xml:space="preserve">N°</t>
  </si>
  <si>
    <t xml:space="preserve">Vendeur</t>
  </si>
  <si>
    <t xml:space="preserve">Rang</t>
  </si>
  <si>
    <t xml:space="preserve">Janvier</t>
  </si>
  <si>
    <t xml:space="preserve">Ali</t>
  </si>
  <si>
    <t xml:space="preserve">Février</t>
  </si>
  <si>
    <t xml:space="preserve">Fatima</t>
  </si>
  <si>
    <t xml:space="preserve">Mars</t>
  </si>
  <si>
    <t xml:space="preserve">Hamza</t>
  </si>
  <si>
    <t xml:space="preserve">Avril</t>
  </si>
  <si>
    <t xml:space="preserve">Salma</t>
  </si>
  <si>
    <t xml:space="preserve">Mai</t>
  </si>
  <si>
    <t xml:space="preserve">Youssef</t>
  </si>
  <si>
    <t xml:space="preserve">Juin</t>
  </si>
  <si>
    <t xml:space="preserve">Asma</t>
  </si>
  <si>
    <t xml:space="preserve">Juillet</t>
  </si>
  <si>
    <t xml:space="preserve">Août</t>
  </si>
  <si>
    <t xml:space="preserve">Meilleur vendeur :</t>
  </si>
  <si>
    <t xml:space="preserve">Septembre</t>
  </si>
  <si>
    <t xml:space="preserve">Produit</t>
  </si>
  <si>
    <t xml:space="preserve">Quantité</t>
  </si>
  <si>
    <t xml:space="preserve">Part</t>
  </si>
  <si>
    <t xml:space="preserve">Ordinateur portable</t>
  </si>
  <si>
    <t xml:space="preserve">Imprimante</t>
  </si>
  <si>
    <t xml:space="preserve">Écran 24"</t>
  </si>
  <si>
    <t xml:space="preserve">Clavier</t>
  </si>
  <si>
    <t xml:space="preserve">Souris</t>
  </si>
  <si>
    <t xml:space="preserve">Casque</t>
  </si>
  <si>
    <t xml:space="preserve">Exercice (chapitre 12) : créez un tableau croisé dynamique depuis le tableau « Ventes » de la feuille Données.</t>
  </si>
  <si>
    <t xml:space="preserve">Date</t>
  </si>
  <si>
    <t xml:space="preserve">Région</t>
  </si>
  <si>
    <t xml:space="preserve">Prix unitaire</t>
  </si>
  <si>
    <t xml:space="preserve">Montant</t>
  </si>
  <si>
    <t xml:space="preserve">Est</t>
  </si>
  <si>
    <t xml:space="preserve">Ouest</t>
  </si>
  <si>
    <t xml:space="preserve">Nord</t>
  </si>
  <si>
    <t xml:space="preserve">Sud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</si>
</sst>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"/>
    <numFmt numFmtId="167" formatCode="0.0%"/>
    <numFmt numFmtId="168" formatCode="dd/mm/yyyy"/>
    <numFmt numFmtId="169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E3B24"/>
        <bgColor rgb="FF333333"/>
      </patternFill>
    </fill>
    <fill>
      <patternFill patternType="solid">
        <fgColor rgb="FFFBF3DD"/>
        <bgColor rgb="FFFFF2CC"/>
      </patternFill>
    </fill>
    <fill>
      <patternFill patternType="solid">
        <fgColor rgb="FFFFF2CC"/>
        <bgColor rgb="FFFBF3DD"/>
      </patternFill>
    </fill>
    <fill>
      <patternFill patternType="solid">
        <fgColor rgb="FF21734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217346"/>
      <rgbColor rgb="FFBFBFBF"/>
      <rgbColor rgb="FF878787"/>
      <rgbColor rgb="FF9999FF"/>
      <rgbColor rgb="FFC0504D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F3DD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4F81BD"/>
      <rgbColor rgb="FF0E3B2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Chiffre d’affaires par mois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'Tableau de bord'!D11</c:f>
              <c:strCache>
                <c:ptCount val="1"/>
                <c:pt idx="0">
                  <c:v>Chiffre d’affaires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'Tableau de bord'!$B$12:$B$20</c:f>
              <c:strCache>
                <c:ptCount val="9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</c:strCache>
            </c:strRef>
          </c:cat>
          <c:val>
            <c:numRef>
              <c:f>'Tableau de bord'!$D$12:$D$20</c:f>
              <c:numCache>
                <c:formatCode>#,##0.00</c:formatCode>
                <c:ptCount val="9"/>
                <c:pt idx="0">
                  <c:v>1668700</c:v>
                </c:pt>
                <c:pt idx="1">
                  <c:v>2729800</c:v>
                </c:pt>
                <c:pt idx="2">
                  <c:v>2181300</c:v>
                </c:pt>
                <c:pt idx="3">
                  <c:v>3769900</c:v>
                </c:pt>
                <c:pt idx="4">
                  <c:v>1563200</c:v>
                </c:pt>
                <c:pt idx="5">
                  <c:v>1497400</c:v>
                </c:pt>
                <c:pt idx="6">
                  <c:v>1838800</c:v>
                </c:pt>
                <c:pt idx="7">
                  <c:v>3530500</c:v>
                </c:pt>
                <c:pt idx="8">
                  <c:v>1964700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909440"/>
        <c:axId val="50768686"/>
      </c:lineChart>
      <c:catAx>
        <c:axId val="8090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768686"/>
        <c:crosses val="autoZero"/>
        <c:auto val="1"/>
        <c:lblAlgn val="ctr"/>
        <c:lblOffset val="100"/>
        <c:noMultiLvlLbl val="0"/>
      </c:catAx>
      <c:valAx>
        <c:axId val="507686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9094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Part de chaque produit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'Tableau de bord'!H22</c:f>
              <c:strCache>
                <c:ptCount val="1"/>
                <c:pt idx="0">
                  <c:v>Chiffre d’affaires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'Tableau de bord'!$F$23:$F$28</c:f>
              <c:strCache>
                <c:ptCount val="6"/>
                <c:pt idx="0">
                  <c:v>Ordinateur portable</c:v>
                </c:pt>
                <c:pt idx="1">
                  <c:v>Imprimante</c:v>
                </c:pt>
                <c:pt idx="2">
                  <c:v>Écran 24"</c:v>
                </c:pt>
                <c:pt idx="3">
                  <c:v>Clavier</c:v>
                </c:pt>
                <c:pt idx="4">
                  <c:v>Souris</c:v>
                </c:pt>
                <c:pt idx="5">
                  <c:v>Casque</c:v>
                </c:pt>
              </c:strCache>
            </c:strRef>
          </c:cat>
          <c:val>
            <c:numRef>
              <c:f>'Tableau de bord'!$H$23:$H$28</c:f>
              <c:numCache>
                <c:formatCode>#,##0.00</c:formatCode>
                <c:ptCount val="6"/>
                <c:pt idx="0">
                  <c:v>11475000</c:v>
                </c:pt>
                <c:pt idx="1">
                  <c:v>2508000</c:v>
                </c:pt>
                <c:pt idx="2">
                  <c:v>2856000</c:v>
                </c:pt>
                <c:pt idx="3">
                  <c:v>1116500</c:v>
                </c:pt>
                <c:pt idx="4">
                  <c:v>253800</c:v>
                </c:pt>
                <c:pt idx="5">
                  <c:v>2535000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30</xdr:row>
      <xdr:rowOff>0</xdr:rowOff>
    </xdr:from>
    <xdr:to>
      <xdr:col>5</xdr:col>
      <xdr:colOff>839160</xdr:colOff>
      <xdr:row>44</xdr:row>
      <xdr:rowOff>32400</xdr:rowOff>
    </xdr:to>
    <xdr:graphicFrame>
      <xdr:nvGraphicFramePr>
        <xdr:cNvPr id="0" name="Chart 1"/>
        <xdr:cNvGraphicFramePr/>
      </xdr:nvGraphicFramePr>
      <xdr:xfrm>
        <a:off x="160200" y="5905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30</xdr:row>
      <xdr:rowOff>0</xdr:rowOff>
    </xdr:from>
    <xdr:to>
      <xdr:col>8</xdr:col>
      <xdr:colOff>199080</xdr:colOff>
      <xdr:row>44</xdr:row>
      <xdr:rowOff>32400</xdr:rowOff>
    </xdr:to>
    <xdr:graphicFrame>
      <xdr:nvGraphicFramePr>
        <xdr:cNvPr id="1" name="Chart 2"/>
        <xdr:cNvGraphicFramePr/>
      </xdr:nvGraphicFramePr>
      <xdr:xfrm>
        <a:off x="4720680" y="590544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Ventes" displayName="Ventes" ref="A1:H151" headerRowCount="1" totalsRowCount="0" totalsRowShown="0">
  <autoFilter ref="A1:H151"/>
  <tableColumns count="8">
    <tableColumn id="1" name="Date"/>
    <tableColumn id="2" name="Région"/>
    <tableColumn id="3" name="Vendeur"/>
    <tableColumn id="4" name="Produit"/>
    <tableColumn id="5" name="Quantité"/>
    <tableColumn id="6" name="Prix unitaire"/>
    <tableColumn id="7" name="Montant"/>
    <tableColumn id="8" name="Moi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3"/>
    <col collapsed="false" customWidth="true" hidden="false" outlineLevel="0" max="6" min="6" style="0" width="20"/>
    <col collapsed="false" customWidth="true" hidden="false" outlineLevel="0" max="8" min="7" style="0" width="18"/>
    <col collapsed="false" customWidth="true" hidden="false" outlineLevel="0" max="9" min="9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B4" s="3" t="s">
        <v>2</v>
      </c>
      <c r="C4" s="4" t="s">
        <v>3</v>
      </c>
    </row>
    <row r="6" customFormat="false" ht="15" hidden="false" customHeight="false" outlineLevel="0" collapsed="false">
      <c r="B6" s="3" t="s">
        <v>4</v>
      </c>
      <c r="C6" s="5" t="n">
        <f aca="false">SUMIFS(Données!$G$2:$G$151,Données!$B$2:$B$151,IF($C$4="Toutes","*",$C$4))</f>
        <v>20744300</v>
      </c>
    </row>
    <row r="7" customFormat="false" ht="15" hidden="false" customHeight="false" outlineLevel="0" collapsed="false">
      <c r="B7" s="3" t="s">
        <v>5</v>
      </c>
      <c r="C7" s="6" t="n">
        <f aca="false">COUNTIFS(Données!$B$2:$B$151,IF($C$4="Toutes","*",$C$4))</f>
        <v>150</v>
      </c>
    </row>
    <row r="8" customFormat="false" ht="15" hidden="false" customHeight="false" outlineLevel="0" collapsed="false">
      <c r="B8" s="3" t="s">
        <v>6</v>
      </c>
      <c r="C8" s="6" t="n">
        <f aca="false">SUMIFS(Données!$E$2:$E$151,Données!$B$2:$B$151,IF($C$4="Toutes","*",$C$4))</f>
        <v>1201</v>
      </c>
    </row>
    <row r="9" customFormat="false" ht="15" hidden="false" customHeight="false" outlineLevel="0" collapsed="false">
      <c r="B9" s="3" t="s">
        <v>7</v>
      </c>
      <c r="C9" s="5" t="n">
        <f aca="false">IF(C7=0,0,C6/C7)</f>
        <v>138295.333333333</v>
      </c>
    </row>
    <row r="11" customFormat="false" ht="15" hidden="false" customHeight="false" outlineLevel="0" collapsed="false">
      <c r="B11" s="7" t="s">
        <v>8</v>
      </c>
      <c r="C11" s="7" t="s">
        <v>9</v>
      </c>
      <c r="D11" s="7" t="s">
        <v>4</v>
      </c>
      <c r="F11" s="7" t="s">
        <v>10</v>
      </c>
      <c r="G11" s="7" t="s">
        <v>4</v>
      </c>
      <c r="H11" s="7" t="s">
        <v>11</v>
      </c>
    </row>
    <row r="12" customFormat="false" ht="15" hidden="false" customHeight="false" outlineLevel="0" collapsed="false">
      <c r="B12" s="8" t="s">
        <v>12</v>
      </c>
      <c r="C12" s="9" t="n">
        <v>1</v>
      </c>
      <c r="D12" s="10" t="n">
        <f aca="false">SUMIFS(Données!$G$2:$G$151,Données!$H$2:$H$151,C12,Données!$B$2:$B$151,IF($C$4="Toutes","*",$C$4))</f>
        <v>1668700</v>
      </c>
      <c r="F12" s="8" t="s">
        <v>13</v>
      </c>
      <c r="G12" s="10" t="n">
        <f aca="false">SUMIFS(Données!$G$2:$G$151,Données!$C$2:$C$151,F12,Données!$B$2:$B$151,IF($C$4="Toutes","*",$C$4))</f>
        <v>4551500</v>
      </c>
      <c r="H12" s="9" t="n">
        <f aca="false">RANK(G12,$G$12:$G$17,0)</f>
        <v>2</v>
      </c>
    </row>
    <row r="13" customFormat="false" ht="15" hidden="false" customHeight="false" outlineLevel="0" collapsed="false">
      <c r="B13" s="8" t="s">
        <v>14</v>
      </c>
      <c r="C13" s="9" t="n">
        <v>2</v>
      </c>
      <c r="D13" s="10" t="n">
        <f aca="false">SUMIFS(Données!$G$2:$G$151,Données!$H$2:$H$151,C13,Données!$B$2:$B$151,IF($C$4="Toutes","*",$C$4))</f>
        <v>2729800</v>
      </c>
      <c r="F13" s="8" t="s">
        <v>15</v>
      </c>
      <c r="G13" s="10" t="n">
        <f aca="false">SUMIFS(Données!$G$2:$G$151,Données!$C$2:$C$151,F13,Données!$B$2:$B$151,IF($C$4="Toutes","*",$C$4))</f>
        <v>5199100</v>
      </c>
      <c r="H13" s="9" t="n">
        <f aca="false">RANK(G13,$G$12:$G$17,0)</f>
        <v>1</v>
      </c>
    </row>
    <row r="14" customFormat="false" ht="15" hidden="false" customHeight="false" outlineLevel="0" collapsed="false">
      <c r="B14" s="8" t="s">
        <v>16</v>
      </c>
      <c r="C14" s="9" t="n">
        <v>3</v>
      </c>
      <c r="D14" s="10" t="n">
        <f aca="false">SUMIFS(Données!$G$2:$G$151,Données!$H$2:$H$151,C14,Données!$B$2:$B$151,IF($C$4="Toutes","*",$C$4))</f>
        <v>2181300</v>
      </c>
      <c r="F14" s="8" t="s">
        <v>17</v>
      </c>
      <c r="G14" s="10" t="n">
        <f aca="false">SUMIFS(Données!$G$2:$G$151,Données!$C$2:$C$151,F14,Données!$B$2:$B$151,IF($C$4="Toutes","*",$C$4))</f>
        <v>3050400</v>
      </c>
      <c r="H14" s="9" t="n">
        <f aca="false">RANK(G14,$G$12:$G$17,0)</f>
        <v>3</v>
      </c>
    </row>
    <row r="15" customFormat="false" ht="15" hidden="false" customHeight="false" outlineLevel="0" collapsed="false">
      <c r="B15" s="8" t="s">
        <v>18</v>
      </c>
      <c r="C15" s="9" t="n">
        <v>4</v>
      </c>
      <c r="D15" s="10" t="n">
        <f aca="false">SUMIFS(Données!$G$2:$G$151,Données!$H$2:$H$151,C15,Données!$B$2:$B$151,IF($C$4="Toutes","*",$C$4))</f>
        <v>3769900</v>
      </c>
      <c r="F15" s="8" t="s">
        <v>19</v>
      </c>
      <c r="G15" s="10" t="n">
        <f aca="false">SUMIFS(Données!$G$2:$G$151,Données!$C$2:$C$151,F15,Données!$B$2:$B$151,IF($C$4="Toutes","*",$C$4))</f>
        <v>2871500</v>
      </c>
      <c r="H15" s="9" t="n">
        <f aca="false">RANK(G15,$G$12:$G$17,0)</f>
        <v>5</v>
      </c>
    </row>
    <row r="16" customFormat="false" ht="15" hidden="false" customHeight="false" outlineLevel="0" collapsed="false">
      <c r="B16" s="8" t="s">
        <v>20</v>
      </c>
      <c r="C16" s="9" t="n">
        <v>5</v>
      </c>
      <c r="D16" s="10" t="n">
        <f aca="false">SUMIFS(Données!$G$2:$G$151,Données!$H$2:$H$151,C16,Données!$B$2:$B$151,IF($C$4="Toutes","*",$C$4))</f>
        <v>1563200</v>
      </c>
      <c r="F16" s="8" t="s">
        <v>21</v>
      </c>
      <c r="G16" s="10" t="n">
        <f aca="false">SUMIFS(Données!$G$2:$G$151,Données!$C$2:$C$151,F16,Données!$B$2:$B$151,IF($C$4="Toutes","*",$C$4))</f>
        <v>2037500</v>
      </c>
      <c r="H16" s="9" t="n">
        <f aca="false">RANK(G16,$G$12:$G$17,0)</f>
        <v>6</v>
      </c>
    </row>
    <row r="17" customFormat="false" ht="15" hidden="false" customHeight="false" outlineLevel="0" collapsed="false">
      <c r="B17" s="8" t="s">
        <v>22</v>
      </c>
      <c r="C17" s="9" t="n">
        <v>6</v>
      </c>
      <c r="D17" s="10" t="n">
        <f aca="false">SUMIFS(Données!$G$2:$G$151,Données!$H$2:$H$151,C17,Données!$B$2:$B$151,IF($C$4="Toutes","*",$C$4))</f>
        <v>1497400</v>
      </c>
      <c r="F17" s="8" t="s">
        <v>23</v>
      </c>
      <c r="G17" s="10" t="n">
        <f aca="false">SUMIFS(Données!$G$2:$G$151,Données!$C$2:$C$151,F17,Données!$B$2:$B$151,IF($C$4="Toutes","*",$C$4))</f>
        <v>3034300</v>
      </c>
      <c r="H17" s="9" t="n">
        <f aca="false">RANK(G17,$G$12:$G$17,0)</f>
        <v>4</v>
      </c>
    </row>
    <row r="18" customFormat="false" ht="15" hidden="false" customHeight="false" outlineLevel="0" collapsed="false">
      <c r="B18" s="8" t="s">
        <v>24</v>
      </c>
      <c r="C18" s="9" t="n">
        <v>7</v>
      </c>
      <c r="D18" s="10" t="n">
        <f aca="false">SUMIFS(Données!$G$2:$G$151,Données!$H$2:$H$151,C18,Données!$B$2:$B$151,IF($C$4="Toutes","*",$C$4))</f>
        <v>1838800</v>
      </c>
    </row>
    <row r="19" customFormat="false" ht="15" hidden="false" customHeight="false" outlineLevel="0" collapsed="false">
      <c r="B19" s="8" t="s">
        <v>25</v>
      </c>
      <c r="C19" s="9" t="n">
        <v>8</v>
      </c>
      <c r="D19" s="10" t="n">
        <f aca="false">SUMIFS(Données!$G$2:$G$151,Données!$H$2:$H$151,C19,Données!$B$2:$B$151,IF($C$4="Toutes","*",$C$4))</f>
        <v>3530500</v>
      </c>
      <c r="F19" s="3" t="s">
        <v>26</v>
      </c>
      <c r="G19" s="11" t="str">
        <f aca="false">INDEX(F12:F17,MATCH(MAX(G12:G17),G12:G17,0))</f>
        <v>Fatima</v>
      </c>
    </row>
    <row r="20" customFormat="false" ht="15" hidden="false" customHeight="false" outlineLevel="0" collapsed="false">
      <c r="B20" s="8" t="s">
        <v>27</v>
      </c>
      <c r="C20" s="9" t="n">
        <v>9</v>
      </c>
      <c r="D20" s="10" t="n">
        <f aca="false">SUMIFS(Données!$G$2:$G$151,Données!$H$2:$H$151,C20,Données!$B$2:$B$151,IF($C$4="Toutes","*",$C$4))</f>
        <v>1964700</v>
      </c>
    </row>
    <row r="22" customFormat="false" ht="15" hidden="false" customHeight="false" outlineLevel="0" collapsed="false">
      <c r="F22" s="7" t="s">
        <v>28</v>
      </c>
      <c r="G22" s="7" t="s">
        <v>29</v>
      </c>
      <c r="H22" s="7" t="s">
        <v>4</v>
      </c>
      <c r="I22" s="7" t="s">
        <v>30</v>
      </c>
    </row>
    <row r="23" customFormat="false" ht="15" hidden="false" customHeight="false" outlineLevel="0" collapsed="false">
      <c r="F23" s="8" t="s">
        <v>31</v>
      </c>
      <c r="G23" s="12" t="n">
        <f aca="false">SUMIFS(Données!$E$2:$E$151,Données!$D$2:$D$151,F23,Données!$B$2:$B$151,IF($C$4="Toutes","*",$C$4))</f>
        <v>135</v>
      </c>
      <c r="H23" s="10" t="n">
        <f aca="false">SUMIFS(Données!$G$2:$G$151,Données!$D$2:$D$151,F23,Données!$B$2:$B$151,IF($C$4="Toutes","*",$C$4))</f>
        <v>11475000</v>
      </c>
      <c r="I23" s="13" t="n">
        <f aca="false">IF($C$6=0,0,H23/$C$6)</f>
        <v>0.553164001677569</v>
      </c>
    </row>
    <row r="24" customFormat="false" ht="15" hidden="false" customHeight="false" outlineLevel="0" collapsed="false">
      <c r="F24" s="8" t="s">
        <v>32</v>
      </c>
      <c r="G24" s="12" t="n">
        <f aca="false">SUMIFS(Données!$E$2:$E$151,Données!$D$2:$D$151,F24,Données!$B$2:$B$151,IF($C$4="Toutes","*",$C$4))</f>
        <v>114</v>
      </c>
      <c r="H24" s="10" t="n">
        <f aca="false">SUMIFS(Données!$G$2:$G$151,Données!$D$2:$D$151,F24,Données!$B$2:$B$151,IF($C$4="Toutes","*",$C$4))</f>
        <v>2508000</v>
      </c>
      <c r="I24" s="13" t="n">
        <f aca="false">IF($C$6=0,0,H24/$C$6)</f>
        <v>0.120900681150967</v>
      </c>
    </row>
    <row r="25" customFormat="false" ht="15" hidden="false" customHeight="false" outlineLevel="0" collapsed="false">
      <c r="F25" s="8" t="s">
        <v>33</v>
      </c>
      <c r="G25" s="12" t="n">
        <f aca="false">SUMIFS(Données!$E$2:$E$151,Données!$D$2:$D$151,F25,Données!$B$2:$B$151,IF($C$4="Toutes","*",$C$4))</f>
        <v>102</v>
      </c>
      <c r="H25" s="10" t="n">
        <f aca="false">SUMIFS(Données!$G$2:$G$151,Données!$D$2:$D$151,F25,Données!$B$2:$B$151,IF($C$4="Toutes","*",$C$4))</f>
        <v>2856000</v>
      </c>
      <c r="I25" s="13" t="n">
        <f aca="false">IF($C$6=0,0,H25/$C$6)</f>
        <v>0.137676373750862</v>
      </c>
    </row>
    <row r="26" customFormat="false" ht="15" hidden="false" customHeight="false" outlineLevel="0" collapsed="false">
      <c r="F26" s="8" t="s">
        <v>34</v>
      </c>
      <c r="G26" s="12" t="n">
        <f aca="false">SUMIFS(Données!$E$2:$E$151,Données!$D$2:$D$151,F26,Données!$B$2:$B$151,IF($C$4="Toutes","*",$C$4))</f>
        <v>319</v>
      </c>
      <c r="H26" s="10" t="n">
        <f aca="false">SUMIFS(Données!$G$2:$G$151,Données!$D$2:$D$151,F26,Données!$B$2:$B$151,IF($C$4="Toutes","*",$C$4))</f>
        <v>1116500</v>
      </c>
      <c r="I26" s="13" t="n">
        <f aca="false">IF($C$6=0,0,H26/$C$6)</f>
        <v>0.0538220137579962</v>
      </c>
    </row>
    <row r="27" customFormat="false" ht="15" hidden="false" customHeight="false" outlineLevel="0" collapsed="false">
      <c r="F27" s="8" t="s">
        <v>35</v>
      </c>
      <c r="G27" s="12" t="n">
        <f aca="false">SUMIFS(Données!$E$2:$E$151,Données!$D$2:$D$151,F27,Données!$B$2:$B$151,IF($C$4="Toutes","*",$C$4))</f>
        <v>141</v>
      </c>
      <c r="H27" s="10" t="n">
        <f aca="false">SUMIFS(Données!$G$2:$G$151,Données!$D$2:$D$151,F27,Données!$B$2:$B$151,IF($C$4="Toutes","*",$C$4))</f>
        <v>253800</v>
      </c>
      <c r="I27" s="13" t="n">
        <f aca="false">IF($C$6=0,0,H27/$C$6)</f>
        <v>0.0122346861547509</v>
      </c>
    </row>
    <row r="28" customFormat="false" ht="15" hidden="false" customHeight="false" outlineLevel="0" collapsed="false">
      <c r="F28" s="8" t="s">
        <v>36</v>
      </c>
      <c r="G28" s="12" t="n">
        <f aca="false">SUMIFS(Données!$E$2:$E$151,Données!$D$2:$D$151,F28,Données!$B$2:$B$151,IF($C$4="Toutes","*",$C$4))</f>
        <v>390</v>
      </c>
      <c r="H28" s="10" t="n">
        <f aca="false">SUMIFS(Données!$G$2:$G$151,Données!$D$2:$D$151,F28,Données!$B$2:$B$151,IF($C$4="Toutes","*",$C$4))</f>
        <v>2535000</v>
      </c>
      <c r="I28" s="13" t="n">
        <f aca="false">IF($C$6=0,0,H28/$C$6)</f>
        <v>0.122202243507855</v>
      </c>
    </row>
    <row r="47" customFormat="false" ht="15" hidden="false" customHeight="false" outlineLevel="0" collapsed="false">
      <c r="B47" s="14" t="s">
        <v>37</v>
      </c>
    </row>
  </sheetData>
  <mergeCells count="2">
    <mergeCell ref="A1:I1"/>
    <mergeCell ref="A2:I2"/>
  </mergeCells>
  <conditionalFormatting sqref="I23:I28">
    <cfRule type="dataBar" priority="2">
      <dataBar showValue="1" minLength="10" maxLength="90">
        <cfvo type="num" val="0"/>
        <cfvo type="num" val="1"/>
        <color rgb="FF217346"/>
      </dataBar>
      <extLst>
        <ext xmlns:x14="http://schemas.microsoft.com/office/spreadsheetml/2009/9/main" uri="{B025F937-C7B1-47D3-B67F-A62EFF666E3E}">
          <x14:id>{30866082-7F6B-4FF8-A4AA-F3F596AB44A6}</x14:id>
        </ext>
      </extLst>
    </cfRule>
  </conditionalFormatting>
  <dataValidations count="1">
    <dataValidation allowBlank="false" errorStyle="stop" operator="between" showDropDown="false" showErrorMessage="false" showInputMessage="false" sqref="C4" type="list">
      <formula1>"Toutes,Nord,Sud,Est,Ouest"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866082-7F6B-4FF8-A4AA-F3F596AB44A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17346"/>
              <x14:axisColor rgb="FF000000"/>
            </x14:dataBar>
          </x14:cfRule>
          <xm:sqref>I23:I28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7"/>
  </cols>
  <sheetData>
    <row r="1" customFormat="false" ht="15" hidden="false" customHeight="false" outlineLevel="0" collapsed="false">
      <c r="A1" s="15" t="s">
        <v>38</v>
      </c>
      <c r="B1" s="15" t="s">
        <v>39</v>
      </c>
      <c r="C1" s="15" t="s">
        <v>10</v>
      </c>
      <c r="D1" s="15" t="s">
        <v>28</v>
      </c>
      <c r="E1" s="15" t="s">
        <v>29</v>
      </c>
      <c r="F1" s="15" t="s">
        <v>40</v>
      </c>
      <c r="G1" s="15" t="s">
        <v>41</v>
      </c>
      <c r="H1" s="15" t="s">
        <v>8</v>
      </c>
    </row>
    <row r="2" customFormat="false" ht="15" hidden="false" customHeight="false" outlineLevel="0" collapsed="false">
      <c r="A2" s="16" t="n">
        <v>46023</v>
      </c>
      <c r="B2" s="17" t="s">
        <v>42</v>
      </c>
      <c r="C2" s="17" t="s">
        <v>23</v>
      </c>
      <c r="D2" s="17" t="s">
        <v>34</v>
      </c>
      <c r="E2" s="17" t="n">
        <v>3</v>
      </c>
      <c r="F2" s="18" t="n">
        <v>3500</v>
      </c>
      <c r="G2" s="19" t="n">
        <f aca="false">E2*F2</f>
        <v>10500</v>
      </c>
      <c r="H2" s="20" t="n">
        <f aca="false">MONTH(A2)</f>
        <v>1</v>
      </c>
    </row>
    <row r="3" customFormat="false" ht="15" hidden="false" customHeight="false" outlineLevel="0" collapsed="false">
      <c r="A3" s="16" t="n">
        <v>46023</v>
      </c>
      <c r="B3" s="17" t="s">
        <v>43</v>
      </c>
      <c r="C3" s="17" t="s">
        <v>21</v>
      </c>
      <c r="D3" s="17" t="s">
        <v>31</v>
      </c>
      <c r="E3" s="17" t="n">
        <v>8</v>
      </c>
      <c r="F3" s="18" t="n">
        <v>85000</v>
      </c>
      <c r="G3" s="19" t="n">
        <f aca="false">E3*F3</f>
        <v>680000</v>
      </c>
      <c r="H3" s="20" t="n">
        <f aca="false">MONTH(A3)</f>
        <v>1</v>
      </c>
    </row>
    <row r="4" customFormat="false" ht="15" hidden="false" customHeight="false" outlineLevel="0" collapsed="false">
      <c r="A4" s="16" t="n">
        <v>46024</v>
      </c>
      <c r="B4" s="17" t="s">
        <v>44</v>
      </c>
      <c r="C4" s="17" t="s">
        <v>13</v>
      </c>
      <c r="D4" s="17" t="s">
        <v>36</v>
      </c>
      <c r="E4" s="17" t="n">
        <v>8</v>
      </c>
      <c r="F4" s="18" t="n">
        <v>6500</v>
      </c>
      <c r="G4" s="19" t="n">
        <f aca="false">E4*F4</f>
        <v>52000</v>
      </c>
      <c r="H4" s="20" t="n">
        <f aca="false">MONTH(A4)</f>
        <v>1</v>
      </c>
    </row>
    <row r="5" customFormat="false" ht="15" hidden="false" customHeight="false" outlineLevel="0" collapsed="false">
      <c r="A5" s="16" t="n">
        <v>46024</v>
      </c>
      <c r="B5" s="17" t="s">
        <v>44</v>
      </c>
      <c r="C5" s="17" t="s">
        <v>23</v>
      </c>
      <c r="D5" s="17" t="s">
        <v>34</v>
      </c>
      <c r="E5" s="17" t="n">
        <v>17</v>
      </c>
      <c r="F5" s="18" t="n">
        <v>3500</v>
      </c>
      <c r="G5" s="19" t="n">
        <f aca="false">E5*F5</f>
        <v>59500</v>
      </c>
      <c r="H5" s="20" t="n">
        <f aca="false">MONTH(A5)</f>
        <v>1</v>
      </c>
    </row>
    <row r="6" customFormat="false" ht="15" hidden="false" customHeight="false" outlineLevel="0" collapsed="false">
      <c r="A6" s="16" t="n">
        <v>46025</v>
      </c>
      <c r="B6" s="17" t="s">
        <v>42</v>
      </c>
      <c r="C6" s="17" t="s">
        <v>13</v>
      </c>
      <c r="D6" s="17" t="s">
        <v>31</v>
      </c>
      <c r="E6" s="17" t="n">
        <v>3</v>
      </c>
      <c r="F6" s="18" t="n">
        <v>85000</v>
      </c>
      <c r="G6" s="19" t="n">
        <f aca="false">E6*F6</f>
        <v>255000</v>
      </c>
      <c r="H6" s="20" t="n">
        <f aca="false">MONTH(A6)</f>
        <v>1</v>
      </c>
    </row>
    <row r="7" customFormat="false" ht="15" hidden="false" customHeight="false" outlineLevel="0" collapsed="false">
      <c r="A7" s="16" t="n">
        <v>46027</v>
      </c>
      <c r="B7" s="17" t="s">
        <v>42</v>
      </c>
      <c r="C7" s="17" t="s">
        <v>23</v>
      </c>
      <c r="D7" s="17" t="s">
        <v>36</v>
      </c>
      <c r="E7" s="17" t="n">
        <v>25</v>
      </c>
      <c r="F7" s="18" t="n">
        <v>6500</v>
      </c>
      <c r="G7" s="19" t="n">
        <f aca="false">E7*F7</f>
        <v>162500</v>
      </c>
      <c r="H7" s="20" t="n">
        <f aca="false">MONTH(A7)</f>
        <v>1</v>
      </c>
    </row>
    <row r="8" customFormat="false" ht="15" hidden="false" customHeight="false" outlineLevel="0" collapsed="false">
      <c r="A8" s="16" t="n">
        <v>46028</v>
      </c>
      <c r="B8" s="17" t="s">
        <v>42</v>
      </c>
      <c r="C8" s="17" t="s">
        <v>19</v>
      </c>
      <c r="D8" s="17" t="s">
        <v>35</v>
      </c>
      <c r="E8" s="17" t="n">
        <v>9</v>
      </c>
      <c r="F8" s="18" t="n">
        <v>1800</v>
      </c>
      <c r="G8" s="19" t="n">
        <f aca="false">E8*F8</f>
        <v>16200</v>
      </c>
      <c r="H8" s="20" t="n">
        <f aca="false">MONTH(A8)</f>
        <v>1</v>
      </c>
    </row>
    <row r="9" customFormat="false" ht="15" hidden="false" customHeight="false" outlineLevel="0" collapsed="false">
      <c r="A9" s="16" t="n">
        <v>46029</v>
      </c>
      <c r="B9" s="17" t="s">
        <v>42</v>
      </c>
      <c r="C9" s="17" t="s">
        <v>17</v>
      </c>
      <c r="D9" s="17" t="s">
        <v>36</v>
      </c>
      <c r="E9" s="17" t="n">
        <v>12</v>
      </c>
      <c r="F9" s="18" t="n">
        <v>6500</v>
      </c>
      <c r="G9" s="19" t="n">
        <f aca="false">E9*F9</f>
        <v>78000</v>
      </c>
      <c r="H9" s="20" t="n">
        <f aca="false">MONTH(A9)</f>
        <v>1</v>
      </c>
    </row>
    <row r="10" customFormat="false" ht="15" hidden="false" customHeight="false" outlineLevel="0" collapsed="false">
      <c r="A10" s="16" t="n">
        <v>46032</v>
      </c>
      <c r="B10" s="17" t="s">
        <v>44</v>
      </c>
      <c r="C10" s="17" t="s">
        <v>13</v>
      </c>
      <c r="D10" s="17" t="s">
        <v>33</v>
      </c>
      <c r="E10" s="17" t="n">
        <v>1</v>
      </c>
      <c r="F10" s="18" t="n">
        <v>28000</v>
      </c>
      <c r="G10" s="19" t="n">
        <f aca="false">E10*F10</f>
        <v>28000</v>
      </c>
      <c r="H10" s="20" t="n">
        <f aca="false">MONTH(A10)</f>
        <v>1</v>
      </c>
    </row>
    <row r="11" customFormat="false" ht="15" hidden="false" customHeight="false" outlineLevel="0" collapsed="false">
      <c r="A11" s="16" t="n">
        <v>46032</v>
      </c>
      <c r="B11" s="17" t="s">
        <v>45</v>
      </c>
      <c r="C11" s="17" t="s">
        <v>19</v>
      </c>
      <c r="D11" s="17" t="s">
        <v>36</v>
      </c>
      <c r="E11" s="17" t="n">
        <v>9</v>
      </c>
      <c r="F11" s="18" t="n">
        <v>6500</v>
      </c>
      <c r="G11" s="19" t="n">
        <f aca="false">E11*F11</f>
        <v>58500</v>
      </c>
      <c r="H11" s="20" t="n">
        <f aca="false">MONTH(A11)</f>
        <v>1</v>
      </c>
    </row>
    <row r="12" customFormat="false" ht="15" hidden="false" customHeight="false" outlineLevel="0" collapsed="false">
      <c r="A12" s="16" t="n">
        <v>46038</v>
      </c>
      <c r="B12" s="17" t="s">
        <v>43</v>
      </c>
      <c r="C12" s="17" t="s">
        <v>15</v>
      </c>
      <c r="D12" s="17" t="s">
        <v>36</v>
      </c>
      <c r="E12" s="17" t="n">
        <v>21</v>
      </c>
      <c r="F12" s="18" t="n">
        <v>6500</v>
      </c>
      <c r="G12" s="19" t="n">
        <f aca="false">E12*F12</f>
        <v>136500</v>
      </c>
      <c r="H12" s="20" t="n">
        <f aca="false">MONTH(A12)</f>
        <v>1</v>
      </c>
    </row>
    <row r="13" customFormat="false" ht="15" hidden="false" customHeight="false" outlineLevel="0" collapsed="false">
      <c r="A13" s="16" t="n">
        <v>46050</v>
      </c>
      <c r="B13" s="17" t="s">
        <v>44</v>
      </c>
      <c r="C13" s="17" t="s">
        <v>13</v>
      </c>
      <c r="D13" s="17" t="s">
        <v>32</v>
      </c>
      <c r="E13" s="17" t="n">
        <v>5</v>
      </c>
      <c r="F13" s="18" t="n">
        <v>22000</v>
      </c>
      <c r="G13" s="19" t="n">
        <f aca="false">E13*F13</f>
        <v>110000</v>
      </c>
      <c r="H13" s="20" t="n">
        <f aca="false">MONTH(A13)</f>
        <v>1</v>
      </c>
    </row>
    <row r="14" customFormat="false" ht="15" hidden="false" customHeight="false" outlineLevel="0" collapsed="false">
      <c r="A14" s="16" t="n">
        <v>46052</v>
      </c>
      <c r="B14" s="17" t="s">
        <v>45</v>
      </c>
      <c r="C14" s="17" t="s">
        <v>17</v>
      </c>
      <c r="D14" s="17" t="s">
        <v>32</v>
      </c>
      <c r="E14" s="17" t="n">
        <v>1</v>
      </c>
      <c r="F14" s="18" t="n">
        <v>22000</v>
      </c>
      <c r="G14" s="19" t="n">
        <f aca="false">E14*F14</f>
        <v>22000</v>
      </c>
      <c r="H14" s="20" t="n">
        <f aca="false">MONTH(A14)</f>
        <v>1</v>
      </c>
    </row>
    <row r="15" customFormat="false" ht="15" hidden="false" customHeight="false" outlineLevel="0" collapsed="false">
      <c r="A15" s="16" t="n">
        <v>46054</v>
      </c>
      <c r="B15" s="17" t="s">
        <v>42</v>
      </c>
      <c r="C15" s="17" t="s">
        <v>23</v>
      </c>
      <c r="D15" s="17" t="s">
        <v>34</v>
      </c>
      <c r="E15" s="17" t="n">
        <v>4</v>
      </c>
      <c r="F15" s="18" t="n">
        <v>3500</v>
      </c>
      <c r="G15" s="19" t="n">
        <f aca="false">E15*F15</f>
        <v>14000</v>
      </c>
      <c r="H15" s="20" t="n">
        <f aca="false">MONTH(A15)</f>
        <v>2</v>
      </c>
    </row>
    <row r="16" customFormat="false" ht="15" hidden="false" customHeight="false" outlineLevel="0" collapsed="false">
      <c r="A16" s="16" t="n">
        <v>46054</v>
      </c>
      <c r="B16" s="17" t="s">
        <v>42</v>
      </c>
      <c r="C16" s="17" t="s">
        <v>21</v>
      </c>
      <c r="D16" s="17" t="s">
        <v>34</v>
      </c>
      <c r="E16" s="17" t="n">
        <v>12</v>
      </c>
      <c r="F16" s="18" t="n">
        <v>3500</v>
      </c>
      <c r="G16" s="19" t="n">
        <f aca="false">E16*F16</f>
        <v>42000</v>
      </c>
      <c r="H16" s="20" t="n">
        <f aca="false">MONTH(A16)</f>
        <v>2</v>
      </c>
    </row>
    <row r="17" customFormat="false" ht="15" hidden="false" customHeight="false" outlineLevel="0" collapsed="false">
      <c r="A17" s="16" t="n">
        <v>46055</v>
      </c>
      <c r="B17" s="17" t="s">
        <v>42</v>
      </c>
      <c r="C17" s="17" t="s">
        <v>15</v>
      </c>
      <c r="D17" s="17" t="s">
        <v>31</v>
      </c>
      <c r="E17" s="17" t="n">
        <v>2</v>
      </c>
      <c r="F17" s="18" t="n">
        <v>85000</v>
      </c>
      <c r="G17" s="19" t="n">
        <f aca="false">E17*F17</f>
        <v>170000</v>
      </c>
      <c r="H17" s="20" t="n">
        <f aca="false">MONTH(A17)</f>
        <v>2</v>
      </c>
    </row>
    <row r="18" customFormat="false" ht="15" hidden="false" customHeight="false" outlineLevel="0" collapsed="false">
      <c r="A18" s="16" t="n">
        <v>46055</v>
      </c>
      <c r="B18" s="17" t="s">
        <v>42</v>
      </c>
      <c r="C18" s="17" t="s">
        <v>21</v>
      </c>
      <c r="D18" s="17" t="s">
        <v>34</v>
      </c>
      <c r="E18" s="17" t="n">
        <v>17</v>
      </c>
      <c r="F18" s="18" t="n">
        <v>3500</v>
      </c>
      <c r="G18" s="19" t="n">
        <f aca="false">E18*F18</f>
        <v>59500</v>
      </c>
      <c r="H18" s="20" t="n">
        <f aca="false">MONTH(A18)</f>
        <v>2</v>
      </c>
    </row>
    <row r="19" customFormat="false" ht="15" hidden="false" customHeight="false" outlineLevel="0" collapsed="false">
      <c r="A19" s="16" t="n">
        <v>46056</v>
      </c>
      <c r="B19" s="17" t="s">
        <v>43</v>
      </c>
      <c r="C19" s="17" t="s">
        <v>21</v>
      </c>
      <c r="D19" s="17" t="s">
        <v>34</v>
      </c>
      <c r="E19" s="17" t="n">
        <v>3</v>
      </c>
      <c r="F19" s="18" t="n">
        <v>3500</v>
      </c>
      <c r="G19" s="19" t="n">
        <f aca="false">E19*F19</f>
        <v>10500</v>
      </c>
      <c r="H19" s="20" t="n">
        <f aca="false">MONTH(A19)</f>
        <v>2</v>
      </c>
    </row>
    <row r="20" customFormat="false" ht="15" hidden="false" customHeight="false" outlineLevel="0" collapsed="false">
      <c r="A20" s="16" t="n">
        <v>46061</v>
      </c>
      <c r="B20" s="17" t="s">
        <v>43</v>
      </c>
      <c r="C20" s="17" t="s">
        <v>21</v>
      </c>
      <c r="D20" s="17" t="s">
        <v>32</v>
      </c>
      <c r="E20" s="17" t="n">
        <v>4</v>
      </c>
      <c r="F20" s="18" t="n">
        <v>22000</v>
      </c>
      <c r="G20" s="19" t="n">
        <f aca="false">E20*F20</f>
        <v>88000</v>
      </c>
      <c r="H20" s="20" t="n">
        <f aca="false">MONTH(A20)</f>
        <v>2</v>
      </c>
    </row>
    <row r="21" customFormat="false" ht="15" hidden="false" customHeight="false" outlineLevel="0" collapsed="false">
      <c r="A21" s="16" t="n">
        <v>46062</v>
      </c>
      <c r="B21" s="17" t="s">
        <v>42</v>
      </c>
      <c r="C21" s="17" t="s">
        <v>13</v>
      </c>
      <c r="D21" s="17" t="s">
        <v>34</v>
      </c>
      <c r="E21" s="17" t="n">
        <v>20</v>
      </c>
      <c r="F21" s="18" t="n">
        <v>3500</v>
      </c>
      <c r="G21" s="19" t="n">
        <f aca="false">E21*F21</f>
        <v>70000</v>
      </c>
      <c r="H21" s="20" t="n">
        <f aca="false">MONTH(A21)</f>
        <v>2</v>
      </c>
    </row>
    <row r="22" customFormat="false" ht="15" hidden="false" customHeight="false" outlineLevel="0" collapsed="false">
      <c r="A22" s="16" t="n">
        <v>46067</v>
      </c>
      <c r="B22" s="17" t="s">
        <v>43</v>
      </c>
      <c r="C22" s="17" t="s">
        <v>15</v>
      </c>
      <c r="D22" s="17" t="s">
        <v>31</v>
      </c>
      <c r="E22" s="17" t="n">
        <v>6</v>
      </c>
      <c r="F22" s="18" t="n">
        <v>85000</v>
      </c>
      <c r="G22" s="19" t="n">
        <f aca="false">E22*F22</f>
        <v>510000</v>
      </c>
      <c r="H22" s="20" t="n">
        <f aca="false">MONTH(A22)</f>
        <v>2</v>
      </c>
    </row>
    <row r="23" customFormat="false" ht="15" hidden="false" customHeight="false" outlineLevel="0" collapsed="false">
      <c r="A23" s="16" t="n">
        <v>46068</v>
      </c>
      <c r="B23" s="17" t="s">
        <v>44</v>
      </c>
      <c r="C23" s="17" t="s">
        <v>23</v>
      </c>
      <c r="D23" s="17" t="s">
        <v>33</v>
      </c>
      <c r="E23" s="17" t="n">
        <v>3</v>
      </c>
      <c r="F23" s="18" t="n">
        <v>28000</v>
      </c>
      <c r="G23" s="19" t="n">
        <f aca="false">E23*F23</f>
        <v>84000</v>
      </c>
      <c r="H23" s="20" t="n">
        <f aca="false">MONTH(A23)</f>
        <v>2</v>
      </c>
    </row>
    <row r="24" customFormat="false" ht="15" hidden="false" customHeight="false" outlineLevel="0" collapsed="false">
      <c r="A24" s="16" t="n">
        <v>46069</v>
      </c>
      <c r="B24" s="17" t="s">
        <v>45</v>
      </c>
      <c r="C24" s="17" t="s">
        <v>17</v>
      </c>
      <c r="D24" s="17" t="s">
        <v>33</v>
      </c>
      <c r="E24" s="17" t="n">
        <v>5</v>
      </c>
      <c r="F24" s="18" t="n">
        <v>28000</v>
      </c>
      <c r="G24" s="19" t="n">
        <f aca="false">E24*F24</f>
        <v>140000</v>
      </c>
      <c r="H24" s="20" t="n">
        <f aca="false">MONTH(A24)</f>
        <v>2</v>
      </c>
    </row>
    <row r="25" customFormat="false" ht="15" hidden="false" customHeight="false" outlineLevel="0" collapsed="false">
      <c r="A25" s="16" t="n">
        <v>46070</v>
      </c>
      <c r="B25" s="17" t="s">
        <v>42</v>
      </c>
      <c r="C25" s="17" t="s">
        <v>13</v>
      </c>
      <c r="D25" s="17" t="s">
        <v>36</v>
      </c>
      <c r="E25" s="17" t="n">
        <v>11</v>
      </c>
      <c r="F25" s="18" t="n">
        <v>6500</v>
      </c>
      <c r="G25" s="19" t="n">
        <f aca="false">E25*F25</f>
        <v>71500</v>
      </c>
      <c r="H25" s="20" t="n">
        <f aca="false">MONTH(A25)</f>
        <v>2</v>
      </c>
    </row>
    <row r="26" customFormat="false" ht="15" hidden="false" customHeight="false" outlineLevel="0" collapsed="false">
      <c r="A26" s="16" t="n">
        <v>46070</v>
      </c>
      <c r="B26" s="17" t="s">
        <v>44</v>
      </c>
      <c r="C26" s="17" t="s">
        <v>23</v>
      </c>
      <c r="D26" s="17" t="s">
        <v>36</v>
      </c>
      <c r="E26" s="17" t="n">
        <v>24</v>
      </c>
      <c r="F26" s="18" t="n">
        <v>6500</v>
      </c>
      <c r="G26" s="19" t="n">
        <f aca="false">E26*F26</f>
        <v>156000</v>
      </c>
      <c r="H26" s="20" t="n">
        <f aca="false">MONTH(A26)</f>
        <v>2</v>
      </c>
    </row>
    <row r="27" customFormat="false" ht="15" hidden="false" customHeight="false" outlineLevel="0" collapsed="false">
      <c r="A27" s="16" t="n">
        <v>46073</v>
      </c>
      <c r="B27" s="17" t="s">
        <v>43</v>
      </c>
      <c r="C27" s="17" t="s">
        <v>21</v>
      </c>
      <c r="D27" s="17" t="s">
        <v>35</v>
      </c>
      <c r="E27" s="17" t="n">
        <v>1</v>
      </c>
      <c r="F27" s="18" t="n">
        <v>1800</v>
      </c>
      <c r="G27" s="19" t="n">
        <f aca="false">E27*F27</f>
        <v>1800</v>
      </c>
      <c r="H27" s="20" t="n">
        <f aca="false">MONTH(A27)</f>
        <v>2</v>
      </c>
    </row>
    <row r="28" customFormat="false" ht="15" hidden="false" customHeight="false" outlineLevel="0" collapsed="false">
      <c r="A28" s="16" t="n">
        <v>46075</v>
      </c>
      <c r="B28" s="17" t="s">
        <v>42</v>
      </c>
      <c r="C28" s="17" t="s">
        <v>23</v>
      </c>
      <c r="D28" s="17" t="s">
        <v>31</v>
      </c>
      <c r="E28" s="17" t="n">
        <v>3</v>
      </c>
      <c r="F28" s="18" t="n">
        <v>85000</v>
      </c>
      <c r="G28" s="19" t="n">
        <f aca="false">E28*F28</f>
        <v>255000</v>
      </c>
      <c r="H28" s="20" t="n">
        <f aca="false">MONTH(A28)</f>
        <v>2</v>
      </c>
    </row>
    <row r="29" customFormat="false" ht="15" hidden="false" customHeight="false" outlineLevel="0" collapsed="false">
      <c r="A29" s="16" t="n">
        <v>46077</v>
      </c>
      <c r="B29" s="17" t="s">
        <v>43</v>
      </c>
      <c r="C29" s="17" t="s">
        <v>19</v>
      </c>
      <c r="D29" s="17" t="s">
        <v>34</v>
      </c>
      <c r="E29" s="17" t="n">
        <v>9</v>
      </c>
      <c r="F29" s="18" t="n">
        <v>3500</v>
      </c>
      <c r="G29" s="19" t="n">
        <f aca="false">E29*F29</f>
        <v>31500</v>
      </c>
      <c r="H29" s="20" t="n">
        <f aca="false">MONTH(A29)</f>
        <v>2</v>
      </c>
    </row>
    <row r="30" customFormat="false" ht="15" hidden="false" customHeight="false" outlineLevel="0" collapsed="false">
      <c r="A30" s="16" t="n">
        <v>46078</v>
      </c>
      <c r="B30" s="17" t="s">
        <v>44</v>
      </c>
      <c r="C30" s="17" t="s">
        <v>17</v>
      </c>
      <c r="D30" s="17" t="s">
        <v>31</v>
      </c>
      <c r="E30" s="17" t="n">
        <v>2</v>
      </c>
      <c r="F30" s="18" t="n">
        <v>85000</v>
      </c>
      <c r="G30" s="19" t="n">
        <f aca="false">E30*F30</f>
        <v>170000</v>
      </c>
      <c r="H30" s="20" t="n">
        <f aca="false">MONTH(A30)</f>
        <v>2</v>
      </c>
    </row>
    <row r="31" customFormat="false" ht="15" hidden="false" customHeight="false" outlineLevel="0" collapsed="false">
      <c r="A31" s="16" t="n">
        <v>46079</v>
      </c>
      <c r="B31" s="17" t="s">
        <v>42</v>
      </c>
      <c r="C31" s="17" t="s">
        <v>13</v>
      </c>
      <c r="D31" s="17" t="s">
        <v>32</v>
      </c>
      <c r="E31" s="17" t="n">
        <v>3</v>
      </c>
      <c r="F31" s="18" t="n">
        <v>22000</v>
      </c>
      <c r="G31" s="19" t="n">
        <f aca="false">E31*F31</f>
        <v>66000</v>
      </c>
      <c r="H31" s="20" t="n">
        <f aca="false">MONTH(A31)</f>
        <v>2</v>
      </c>
    </row>
    <row r="32" customFormat="false" ht="15" hidden="false" customHeight="false" outlineLevel="0" collapsed="false">
      <c r="A32" s="16" t="n">
        <v>46080</v>
      </c>
      <c r="B32" s="17" t="s">
        <v>44</v>
      </c>
      <c r="C32" s="17" t="s">
        <v>13</v>
      </c>
      <c r="D32" s="17" t="s">
        <v>32</v>
      </c>
      <c r="E32" s="17" t="n">
        <v>5</v>
      </c>
      <c r="F32" s="18" t="n">
        <v>22000</v>
      </c>
      <c r="G32" s="19" t="n">
        <f aca="false">E32*F32</f>
        <v>110000</v>
      </c>
      <c r="H32" s="20" t="n">
        <f aca="false">MONTH(A32)</f>
        <v>2</v>
      </c>
    </row>
    <row r="33" customFormat="false" ht="15" hidden="false" customHeight="false" outlineLevel="0" collapsed="false">
      <c r="A33" s="16" t="n">
        <v>46080</v>
      </c>
      <c r="B33" s="17" t="s">
        <v>44</v>
      </c>
      <c r="C33" s="17" t="s">
        <v>17</v>
      </c>
      <c r="D33" s="17" t="s">
        <v>31</v>
      </c>
      <c r="E33" s="17" t="n">
        <v>4</v>
      </c>
      <c r="F33" s="18" t="n">
        <v>85000</v>
      </c>
      <c r="G33" s="19" t="n">
        <f aca="false">E33*F33</f>
        <v>340000</v>
      </c>
      <c r="H33" s="20" t="n">
        <f aca="false">MONTH(A33)</f>
        <v>2</v>
      </c>
    </row>
    <row r="34" customFormat="false" ht="15" hidden="false" customHeight="false" outlineLevel="0" collapsed="false">
      <c r="A34" s="16" t="n">
        <v>46080</v>
      </c>
      <c r="B34" s="17" t="s">
        <v>45</v>
      </c>
      <c r="C34" s="17" t="s">
        <v>17</v>
      </c>
      <c r="D34" s="17" t="s">
        <v>31</v>
      </c>
      <c r="E34" s="17" t="n">
        <v>4</v>
      </c>
      <c r="F34" s="18" t="n">
        <v>85000</v>
      </c>
      <c r="G34" s="19" t="n">
        <f aca="false">E34*F34</f>
        <v>340000</v>
      </c>
      <c r="H34" s="20" t="n">
        <f aca="false">MONTH(A34)</f>
        <v>2</v>
      </c>
    </row>
    <row r="35" customFormat="false" ht="15" hidden="false" customHeight="false" outlineLevel="0" collapsed="false">
      <c r="A35" s="16" t="n">
        <v>46083</v>
      </c>
      <c r="B35" s="17" t="s">
        <v>45</v>
      </c>
      <c r="C35" s="17" t="s">
        <v>17</v>
      </c>
      <c r="D35" s="17" t="s">
        <v>35</v>
      </c>
      <c r="E35" s="17" t="n">
        <v>3</v>
      </c>
      <c r="F35" s="18" t="n">
        <v>1800</v>
      </c>
      <c r="G35" s="19" t="n">
        <f aca="false">E35*F35</f>
        <v>5400</v>
      </c>
      <c r="H35" s="20" t="n">
        <f aca="false">MONTH(A35)</f>
        <v>3</v>
      </c>
    </row>
    <row r="36" customFormat="false" ht="15" hidden="false" customHeight="false" outlineLevel="0" collapsed="false">
      <c r="A36" s="16" t="n">
        <v>46084</v>
      </c>
      <c r="B36" s="17" t="s">
        <v>45</v>
      </c>
      <c r="C36" s="17" t="s">
        <v>19</v>
      </c>
      <c r="D36" s="17" t="s">
        <v>34</v>
      </c>
      <c r="E36" s="17" t="n">
        <v>6</v>
      </c>
      <c r="F36" s="18" t="n">
        <v>3500</v>
      </c>
      <c r="G36" s="19" t="n">
        <f aca="false">E36*F36</f>
        <v>21000</v>
      </c>
      <c r="H36" s="20" t="n">
        <f aca="false">MONTH(A36)</f>
        <v>3</v>
      </c>
    </row>
    <row r="37" customFormat="false" ht="15" hidden="false" customHeight="false" outlineLevel="0" collapsed="false">
      <c r="A37" s="16" t="n">
        <v>46085</v>
      </c>
      <c r="B37" s="17" t="s">
        <v>42</v>
      </c>
      <c r="C37" s="17" t="s">
        <v>15</v>
      </c>
      <c r="D37" s="17" t="s">
        <v>32</v>
      </c>
      <c r="E37" s="17" t="n">
        <v>5</v>
      </c>
      <c r="F37" s="18" t="n">
        <v>22000</v>
      </c>
      <c r="G37" s="19" t="n">
        <f aca="false">E37*F37</f>
        <v>110000</v>
      </c>
      <c r="H37" s="20" t="n">
        <f aca="false">MONTH(A37)</f>
        <v>3</v>
      </c>
    </row>
    <row r="38" customFormat="false" ht="15" hidden="false" customHeight="false" outlineLevel="0" collapsed="false">
      <c r="A38" s="16" t="n">
        <v>46085</v>
      </c>
      <c r="B38" s="17" t="s">
        <v>44</v>
      </c>
      <c r="C38" s="17" t="s">
        <v>17</v>
      </c>
      <c r="D38" s="17" t="s">
        <v>34</v>
      </c>
      <c r="E38" s="17" t="n">
        <v>18</v>
      </c>
      <c r="F38" s="18" t="n">
        <v>3500</v>
      </c>
      <c r="G38" s="19" t="n">
        <f aca="false">E38*F38</f>
        <v>63000</v>
      </c>
      <c r="H38" s="20" t="n">
        <f aca="false">MONTH(A38)</f>
        <v>3</v>
      </c>
    </row>
    <row r="39" customFormat="false" ht="15" hidden="false" customHeight="false" outlineLevel="0" collapsed="false">
      <c r="A39" s="16" t="n">
        <v>46087</v>
      </c>
      <c r="B39" s="17" t="s">
        <v>45</v>
      </c>
      <c r="C39" s="17" t="s">
        <v>13</v>
      </c>
      <c r="D39" s="17" t="s">
        <v>36</v>
      </c>
      <c r="E39" s="17" t="n">
        <v>9</v>
      </c>
      <c r="F39" s="18" t="n">
        <v>6500</v>
      </c>
      <c r="G39" s="19" t="n">
        <f aca="false">E39*F39</f>
        <v>58500</v>
      </c>
      <c r="H39" s="20" t="n">
        <f aca="false">MONTH(A39)</f>
        <v>3</v>
      </c>
    </row>
    <row r="40" customFormat="false" ht="15" hidden="false" customHeight="false" outlineLevel="0" collapsed="false">
      <c r="A40" s="16" t="n">
        <v>46090</v>
      </c>
      <c r="B40" s="17" t="s">
        <v>42</v>
      </c>
      <c r="C40" s="17" t="s">
        <v>19</v>
      </c>
      <c r="D40" s="17" t="s">
        <v>31</v>
      </c>
      <c r="E40" s="17" t="n">
        <v>7</v>
      </c>
      <c r="F40" s="18" t="n">
        <v>85000</v>
      </c>
      <c r="G40" s="19" t="n">
        <f aca="false">E40*F40</f>
        <v>595000</v>
      </c>
      <c r="H40" s="20" t="n">
        <f aca="false">MONTH(A40)</f>
        <v>3</v>
      </c>
    </row>
    <row r="41" customFormat="false" ht="15" hidden="false" customHeight="false" outlineLevel="0" collapsed="false">
      <c r="A41" s="16" t="n">
        <v>46090</v>
      </c>
      <c r="B41" s="17" t="s">
        <v>44</v>
      </c>
      <c r="C41" s="17" t="s">
        <v>23</v>
      </c>
      <c r="D41" s="17" t="s">
        <v>31</v>
      </c>
      <c r="E41" s="17" t="n">
        <v>2</v>
      </c>
      <c r="F41" s="18" t="n">
        <v>85000</v>
      </c>
      <c r="G41" s="19" t="n">
        <f aca="false">E41*F41</f>
        <v>170000</v>
      </c>
      <c r="H41" s="20" t="n">
        <f aca="false">MONTH(A41)</f>
        <v>3</v>
      </c>
    </row>
    <row r="42" customFormat="false" ht="15" hidden="false" customHeight="false" outlineLevel="0" collapsed="false">
      <c r="A42" s="16" t="n">
        <v>46093</v>
      </c>
      <c r="B42" s="17" t="s">
        <v>45</v>
      </c>
      <c r="C42" s="17" t="s">
        <v>23</v>
      </c>
      <c r="D42" s="17" t="s">
        <v>34</v>
      </c>
      <c r="E42" s="17" t="n">
        <v>4</v>
      </c>
      <c r="F42" s="18" t="n">
        <v>3500</v>
      </c>
      <c r="G42" s="19" t="n">
        <f aca="false">E42*F42</f>
        <v>14000</v>
      </c>
      <c r="H42" s="20" t="n">
        <f aca="false">MONTH(A42)</f>
        <v>3</v>
      </c>
    </row>
    <row r="43" customFormat="false" ht="15" hidden="false" customHeight="false" outlineLevel="0" collapsed="false">
      <c r="A43" s="16" t="n">
        <v>46095</v>
      </c>
      <c r="B43" s="17" t="s">
        <v>44</v>
      </c>
      <c r="C43" s="17" t="s">
        <v>23</v>
      </c>
      <c r="D43" s="17" t="s">
        <v>34</v>
      </c>
      <c r="E43" s="17" t="n">
        <v>2</v>
      </c>
      <c r="F43" s="18" t="n">
        <v>3500</v>
      </c>
      <c r="G43" s="19" t="n">
        <f aca="false">E43*F43</f>
        <v>7000</v>
      </c>
      <c r="H43" s="20" t="n">
        <f aca="false">MONTH(A43)</f>
        <v>3</v>
      </c>
    </row>
    <row r="44" customFormat="false" ht="15" hidden="false" customHeight="false" outlineLevel="0" collapsed="false">
      <c r="A44" s="16" t="n">
        <v>46095</v>
      </c>
      <c r="B44" s="17" t="s">
        <v>44</v>
      </c>
      <c r="C44" s="17" t="s">
        <v>21</v>
      </c>
      <c r="D44" s="17" t="s">
        <v>34</v>
      </c>
      <c r="E44" s="17" t="n">
        <v>2</v>
      </c>
      <c r="F44" s="18" t="n">
        <v>3500</v>
      </c>
      <c r="G44" s="19" t="n">
        <f aca="false">E44*F44</f>
        <v>7000</v>
      </c>
      <c r="H44" s="20" t="n">
        <f aca="false">MONTH(A44)</f>
        <v>3</v>
      </c>
    </row>
    <row r="45" customFormat="false" ht="15" hidden="false" customHeight="false" outlineLevel="0" collapsed="false">
      <c r="A45" s="16" t="n">
        <v>46097</v>
      </c>
      <c r="B45" s="17" t="s">
        <v>44</v>
      </c>
      <c r="C45" s="17" t="s">
        <v>15</v>
      </c>
      <c r="D45" s="17" t="s">
        <v>34</v>
      </c>
      <c r="E45" s="17" t="n">
        <v>1</v>
      </c>
      <c r="F45" s="18" t="n">
        <v>3500</v>
      </c>
      <c r="G45" s="19" t="n">
        <f aca="false">E45*F45</f>
        <v>3500</v>
      </c>
      <c r="H45" s="20" t="n">
        <f aca="false">MONTH(A45)</f>
        <v>3</v>
      </c>
    </row>
    <row r="46" customFormat="false" ht="15" hidden="false" customHeight="false" outlineLevel="0" collapsed="false">
      <c r="A46" s="16" t="n">
        <v>46097</v>
      </c>
      <c r="B46" s="17" t="s">
        <v>43</v>
      </c>
      <c r="C46" s="17" t="s">
        <v>23</v>
      </c>
      <c r="D46" s="17" t="s">
        <v>31</v>
      </c>
      <c r="E46" s="17" t="n">
        <v>3</v>
      </c>
      <c r="F46" s="18" t="n">
        <v>85000</v>
      </c>
      <c r="G46" s="19" t="n">
        <f aca="false">E46*F46</f>
        <v>255000</v>
      </c>
      <c r="H46" s="20" t="n">
        <f aca="false">MONTH(A46)</f>
        <v>3</v>
      </c>
    </row>
    <row r="47" customFormat="false" ht="15" hidden="false" customHeight="false" outlineLevel="0" collapsed="false">
      <c r="A47" s="16" t="n">
        <v>46100</v>
      </c>
      <c r="B47" s="17" t="s">
        <v>44</v>
      </c>
      <c r="C47" s="17" t="s">
        <v>23</v>
      </c>
      <c r="D47" s="17" t="s">
        <v>35</v>
      </c>
      <c r="E47" s="17" t="n">
        <v>23</v>
      </c>
      <c r="F47" s="18" t="n">
        <v>1800</v>
      </c>
      <c r="G47" s="19" t="n">
        <f aca="false">E47*F47</f>
        <v>41400</v>
      </c>
      <c r="H47" s="20" t="n">
        <f aca="false">MONTH(A47)</f>
        <v>3</v>
      </c>
    </row>
    <row r="48" customFormat="false" ht="15" hidden="false" customHeight="false" outlineLevel="0" collapsed="false">
      <c r="A48" s="16" t="n">
        <v>46104</v>
      </c>
      <c r="B48" s="17" t="s">
        <v>43</v>
      </c>
      <c r="C48" s="17" t="s">
        <v>23</v>
      </c>
      <c r="D48" s="17" t="s">
        <v>31</v>
      </c>
      <c r="E48" s="17" t="n">
        <v>8</v>
      </c>
      <c r="F48" s="18" t="n">
        <v>85000</v>
      </c>
      <c r="G48" s="19" t="n">
        <f aca="false">E48*F48</f>
        <v>680000</v>
      </c>
      <c r="H48" s="20" t="n">
        <f aca="false">MONTH(A48)</f>
        <v>3</v>
      </c>
    </row>
    <row r="49" customFormat="false" ht="15" hidden="false" customHeight="false" outlineLevel="0" collapsed="false">
      <c r="A49" s="16" t="n">
        <v>46104</v>
      </c>
      <c r="B49" s="17" t="s">
        <v>45</v>
      </c>
      <c r="C49" s="17" t="s">
        <v>13</v>
      </c>
      <c r="D49" s="17" t="s">
        <v>32</v>
      </c>
      <c r="E49" s="17" t="n">
        <v>3</v>
      </c>
      <c r="F49" s="18" t="n">
        <v>22000</v>
      </c>
      <c r="G49" s="19" t="n">
        <f aca="false">E49*F49</f>
        <v>66000</v>
      </c>
      <c r="H49" s="20" t="n">
        <f aca="false">MONTH(A49)</f>
        <v>3</v>
      </c>
    </row>
    <row r="50" customFormat="false" ht="15" hidden="false" customHeight="false" outlineLevel="0" collapsed="false">
      <c r="A50" s="16" t="n">
        <v>46105</v>
      </c>
      <c r="B50" s="17" t="s">
        <v>43</v>
      </c>
      <c r="C50" s="17" t="s">
        <v>21</v>
      </c>
      <c r="D50" s="17" t="s">
        <v>36</v>
      </c>
      <c r="E50" s="17" t="n">
        <v>13</v>
      </c>
      <c r="F50" s="18" t="n">
        <v>6500</v>
      </c>
      <c r="G50" s="19" t="n">
        <f aca="false">E50*F50</f>
        <v>84500</v>
      </c>
      <c r="H50" s="20" t="n">
        <f aca="false">MONTH(A50)</f>
        <v>3</v>
      </c>
    </row>
    <row r="51" customFormat="false" ht="15" hidden="false" customHeight="false" outlineLevel="0" collapsed="false">
      <c r="A51" s="16" t="n">
        <v>46117</v>
      </c>
      <c r="B51" s="17" t="s">
        <v>43</v>
      </c>
      <c r="C51" s="17" t="s">
        <v>13</v>
      </c>
      <c r="D51" s="17" t="s">
        <v>36</v>
      </c>
      <c r="E51" s="17" t="n">
        <v>10</v>
      </c>
      <c r="F51" s="18" t="n">
        <v>6500</v>
      </c>
      <c r="G51" s="19" t="n">
        <f aca="false">E51*F51</f>
        <v>65000</v>
      </c>
      <c r="H51" s="20" t="n">
        <f aca="false">MONTH(A51)</f>
        <v>4</v>
      </c>
    </row>
    <row r="52" customFormat="false" ht="15" hidden="false" customHeight="false" outlineLevel="0" collapsed="false">
      <c r="A52" s="16" t="n">
        <v>46117</v>
      </c>
      <c r="B52" s="17" t="s">
        <v>43</v>
      </c>
      <c r="C52" s="17" t="s">
        <v>23</v>
      </c>
      <c r="D52" s="17" t="s">
        <v>34</v>
      </c>
      <c r="E52" s="17" t="n">
        <v>11</v>
      </c>
      <c r="F52" s="18" t="n">
        <v>3500</v>
      </c>
      <c r="G52" s="19" t="n">
        <f aca="false">E52*F52</f>
        <v>38500</v>
      </c>
      <c r="H52" s="20" t="n">
        <f aca="false">MONTH(A52)</f>
        <v>4</v>
      </c>
    </row>
    <row r="53" customFormat="false" ht="15" hidden="false" customHeight="false" outlineLevel="0" collapsed="false">
      <c r="A53" s="16" t="n">
        <v>46118</v>
      </c>
      <c r="B53" s="17" t="s">
        <v>43</v>
      </c>
      <c r="C53" s="17" t="s">
        <v>19</v>
      </c>
      <c r="D53" s="17" t="s">
        <v>32</v>
      </c>
      <c r="E53" s="17" t="n">
        <v>1</v>
      </c>
      <c r="F53" s="18" t="n">
        <v>22000</v>
      </c>
      <c r="G53" s="19" t="n">
        <f aca="false">E53*F53</f>
        <v>22000</v>
      </c>
      <c r="H53" s="20" t="n">
        <f aca="false">MONTH(A53)</f>
        <v>4</v>
      </c>
    </row>
    <row r="54" customFormat="false" ht="15" hidden="false" customHeight="false" outlineLevel="0" collapsed="false">
      <c r="A54" s="16" t="n">
        <v>46120</v>
      </c>
      <c r="B54" s="17" t="s">
        <v>43</v>
      </c>
      <c r="C54" s="17" t="s">
        <v>13</v>
      </c>
      <c r="D54" s="17" t="s">
        <v>33</v>
      </c>
      <c r="E54" s="17" t="n">
        <v>7</v>
      </c>
      <c r="F54" s="18" t="n">
        <v>28000</v>
      </c>
      <c r="G54" s="19" t="n">
        <f aca="false">E54*F54</f>
        <v>196000</v>
      </c>
      <c r="H54" s="20" t="n">
        <f aca="false">MONTH(A54)</f>
        <v>4</v>
      </c>
    </row>
    <row r="55" customFormat="false" ht="15" hidden="false" customHeight="false" outlineLevel="0" collapsed="false">
      <c r="A55" s="16" t="n">
        <v>46121</v>
      </c>
      <c r="B55" s="17" t="s">
        <v>44</v>
      </c>
      <c r="C55" s="17" t="s">
        <v>15</v>
      </c>
      <c r="D55" s="17" t="s">
        <v>32</v>
      </c>
      <c r="E55" s="17" t="n">
        <v>6</v>
      </c>
      <c r="F55" s="18" t="n">
        <v>22000</v>
      </c>
      <c r="G55" s="19" t="n">
        <f aca="false">E55*F55</f>
        <v>132000</v>
      </c>
      <c r="H55" s="20" t="n">
        <f aca="false">MONTH(A55)</f>
        <v>4</v>
      </c>
    </row>
    <row r="56" customFormat="false" ht="15" hidden="false" customHeight="false" outlineLevel="0" collapsed="false">
      <c r="A56" s="16" t="n">
        <v>46124</v>
      </c>
      <c r="B56" s="17" t="s">
        <v>45</v>
      </c>
      <c r="C56" s="17" t="s">
        <v>17</v>
      </c>
      <c r="D56" s="17" t="s">
        <v>31</v>
      </c>
      <c r="E56" s="17" t="n">
        <v>5</v>
      </c>
      <c r="F56" s="18" t="n">
        <v>85000</v>
      </c>
      <c r="G56" s="19" t="n">
        <f aca="false">E56*F56</f>
        <v>425000</v>
      </c>
      <c r="H56" s="20" t="n">
        <f aca="false">MONTH(A56)</f>
        <v>4</v>
      </c>
    </row>
    <row r="57" customFormat="false" ht="15" hidden="false" customHeight="false" outlineLevel="0" collapsed="false">
      <c r="A57" s="16" t="n">
        <v>46124</v>
      </c>
      <c r="B57" s="17" t="s">
        <v>45</v>
      </c>
      <c r="C57" s="17" t="s">
        <v>19</v>
      </c>
      <c r="D57" s="17" t="s">
        <v>36</v>
      </c>
      <c r="E57" s="17" t="n">
        <v>12</v>
      </c>
      <c r="F57" s="18" t="n">
        <v>6500</v>
      </c>
      <c r="G57" s="19" t="n">
        <f aca="false">E57*F57</f>
        <v>78000</v>
      </c>
      <c r="H57" s="20" t="n">
        <f aca="false">MONTH(A57)</f>
        <v>4</v>
      </c>
    </row>
    <row r="58" customFormat="false" ht="15" hidden="false" customHeight="false" outlineLevel="0" collapsed="false">
      <c r="A58" s="16" t="n">
        <v>46125</v>
      </c>
      <c r="B58" s="17" t="s">
        <v>45</v>
      </c>
      <c r="C58" s="17" t="s">
        <v>15</v>
      </c>
      <c r="D58" s="17" t="s">
        <v>33</v>
      </c>
      <c r="E58" s="17" t="n">
        <v>8</v>
      </c>
      <c r="F58" s="18" t="n">
        <v>28000</v>
      </c>
      <c r="G58" s="19" t="n">
        <f aca="false">E58*F58</f>
        <v>224000</v>
      </c>
      <c r="H58" s="20" t="n">
        <f aca="false">MONTH(A58)</f>
        <v>4</v>
      </c>
    </row>
    <row r="59" customFormat="false" ht="15" hidden="false" customHeight="false" outlineLevel="0" collapsed="false">
      <c r="A59" s="16" t="n">
        <v>46126</v>
      </c>
      <c r="B59" s="17" t="s">
        <v>42</v>
      </c>
      <c r="C59" s="17" t="s">
        <v>21</v>
      </c>
      <c r="D59" s="17" t="s">
        <v>33</v>
      </c>
      <c r="E59" s="17" t="n">
        <v>4</v>
      </c>
      <c r="F59" s="18" t="n">
        <v>28000</v>
      </c>
      <c r="G59" s="19" t="n">
        <f aca="false">E59*F59</f>
        <v>112000</v>
      </c>
      <c r="H59" s="20" t="n">
        <f aca="false">MONTH(A59)</f>
        <v>4</v>
      </c>
    </row>
    <row r="60" customFormat="false" ht="15" hidden="false" customHeight="false" outlineLevel="0" collapsed="false">
      <c r="A60" s="16" t="n">
        <v>46126</v>
      </c>
      <c r="B60" s="17" t="s">
        <v>43</v>
      </c>
      <c r="C60" s="17" t="s">
        <v>19</v>
      </c>
      <c r="D60" s="17" t="s">
        <v>31</v>
      </c>
      <c r="E60" s="17" t="n">
        <v>7</v>
      </c>
      <c r="F60" s="18" t="n">
        <v>85000</v>
      </c>
      <c r="G60" s="19" t="n">
        <f aca="false">E60*F60</f>
        <v>595000</v>
      </c>
      <c r="H60" s="20" t="n">
        <f aca="false">MONTH(A60)</f>
        <v>4</v>
      </c>
    </row>
    <row r="61" customFormat="false" ht="15" hidden="false" customHeight="false" outlineLevel="0" collapsed="false">
      <c r="A61" s="16" t="n">
        <v>46127</v>
      </c>
      <c r="B61" s="17" t="s">
        <v>44</v>
      </c>
      <c r="C61" s="17" t="s">
        <v>13</v>
      </c>
      <c r="D61" s="17" t="s">
        <v>36</v>
      </c>
      <c r="E61" s="17" t="n">
        <v>24</v>
      </c>
      <c r="F61" s="18" t="n">
        <v>6500</v>
      </c>
      <c r="G61" s="19" t="n">
        <f aca="false">E61*F61</f>
        <v>156000</v>
      </c>
      <c r="H61" s="20" t="n">
        <f aca="false">MONTH(A61)</f>
        <v>4</v>
      </c>
    </row>
    <row r="62" customFormat="false" ht="15" hidden="false" customHeight="false" outlineLevel="0" collapsed="false">
      <c r="A62" s="16" t="n">
        <v>46128</v>
      </c>
      <c r="B62" s="17" t="s">
        <v>43</v>
      </c>
      <c r="C62" s="17" t="s">
        <v>19</v>
      </c>
      <c r="D62" s="17" t="s">
        <v>32</v>
      </c>
      <c r="E62" s="17" t="n">
        <v>7</v>
      </c>
      <c r="F62" s="18" t="n">
        <v>22000</v>
      </c>
      <c r="G62" s="19" t="n">
        <f aca="false">E62*F62</f>
        <v>154000</v>
      </c>
      <c r="H62" s="20" t="n">
        <f aca="false">MONTH(A62)</f>
        <v>4</v>
      </c>
    </row>
    <row r="63" customFormat="false" ht="15" hidden="false" customHeight="false" outlineLevel="0" collapsed="false">
      <c r="A63" s="16" t="n">
        <v>46129</v>
      </c>
      <c r="B63" s="17" t="s">
        <v>42</v>
      </c>
      <c r="C63" s="17" t="s">
        <v>17</v>
      </c>
      <c r="D63" s="17" t="s">
        <v>34</v>
      </c>
      <c r="E63" s="17" t="n">
        <v>14</v>
      </c>
      <c r="F63" s="18" t="n">
        <v>3500</v>
      </c>
      <c r="G63" s="19" t="n">
        <f aca="false">E63*F63</f>
        <v>49000</v>
      </c>
      <c r="H63" s="20" t="n">
        <f aca="false">MONTH(A63)</f>
        <v>4</v>
      </c>
    </row>
    <row r="64" customFormat="false" ht="15" hidden="false" customHeight="false" outlineLevel="0" collapsed="false">
      <c r="A64" s="16" t="n">
        <v>46130</v>
      </c>
      <c r="B64" s="17" t="s">
        <v>44</v>
      </c>
      <c r="C64" s="17" t="s">
        <v>15</v>
      </c>
      <c r="D64" s="17" t="s">
        <v>31</v>
      </c>
      <c r="E64" s="17" t="n">
        <v>5</v>
      </c>
      <c r="F64" s="18" t="n">
        <v>85000</v>
      </c>
      <c r="G64" s="19" t="n">
        <f aca="false">E64*F64</f>
        <v>425000</v>
      </c>
      <c r="H64" s="20" t="n">
        <f aca="false">MONTH(A64)</f>
        <v>4</v>
      </c>
    </row>
    <row r="65" customFormat="false" ht="15" hidden="false" customHeight="false" outlineLevel="0" collapsed="false">
      <c r="A65" s="16" t="n">
        <v>46131</v>
      </c>
      <c r="B65" s="17" t="s">
        <v>42</v>
      </c>
      <c r="C65" s="17" t="s">
        <v>15</v>
      </c>
      <c r="D65" s="17" t="s">
        <v>31</v>
      </c>
      <c r="E65" s="17" t="n">
        <v>5</v>
      </c>
      <c r="F65" s="18" t="n">
        <v>85000</v>
      </c>
      <c r="G65" s="19" t="n">
        <f aca="false">E65*F65</f>
        <v>425000</v>
      </c>
      <c r="H65" s="20" t="n">
        <f aca="false">MONTH(A65)</f>
        <v>4</v>
      </c>
    </row>
    <row r="66" customFormat="false" ht="15" hidden="false" customHeight="false" outlineLevel="0" collapsed="false">
      <c r="A66" s="16" t="n">
        <v>46134</v>
      </c>
      <c r="B66" s="17" t="s">
        <v>43</v>
      </c>
      <c r="C66" s="17" t="s">
        <v>17</v>
      </c>
      <c r="D66" s="17" t="s">
        <v>36</v>
      </c>
      <c r="E66" s="17" t="n">
        <v>23</v>
      </c>
      <c r="F66" s="18" t="n">
        <v>6500</v>
      </c>
      <c r="G66" s="19" t="n">
        <f aca="false">E66*F66</f>
        <v>149500</v>
      </c>
      <c r="H66" s="20" t="n">
        <f aca="false">MONTH(A66)</f>
        <v>4</v>
      </c>
    </row>
    <row r="67" customFormat="false" ht="15" hidden="false" customHeight="false" outlineLevel="0" collapsed="false">
      <c r="A67" s="16" t="n">
        <v>46136</v>
      </c>
      <c r="B67" s="17" t="s">
        <v>42</v>
      </c>
      <c r="C67" s="17" t="s">
        <v>13</v>
      </c>
      <c r="D67" s="17" t="s">
        <v>33</v>
      </c>
      <c r="E67" s="17" t="n">
        <v>8</v>
      </c>
      <c r="F67" s="18" t="n">
        <v>28000</v>
      </c>
      <c r="G67" s="19" t="n">
        <f aca="false">E67*F67</f>
        <v>224000</v>
      </c>
      <c r="H67" s="20" t="n">
        <f aca="false">MONTH(A67)</f>
        <v>4</v>
      </c>
    </row>
    <row r="68" customFormat="false" ht="15" hidden="false" customHeight="false" outlineLevel="0" collapsed="false">
      <c r="A68" s="16" t="n">
        <v>46140</v>
      </c>
      <c r="B68" s="17" t="s">
        <v>44</v>
      </c>
      <c r="C68" s="17" t="s">
        <v>13</v>
      </c>
      <c r="D68" s="17" t="s">
        <v>31</v>
      </c>
      <c r="E68" s="17" t="n">
        <v>3</v>
      </c>
      <c r="F68" s="18" t="n">
        <v>85000</v>
      </c>
      <c r="G68" s="19" t="n">
        <f aca="false">E68*F68</f>
        <v>255000</v>
      </c>
      <c r="H68" s="20" t="n">
        <f aca="false">MONTH(A68)</f>
        <v>4</v>
      </c>
    </row>
    <row r="69" customFormat="false" ht="15" hidden="false" customHeight="false" outlineLevel="0" collapsed="false">
      <c r="A69" s="16" t="n">
        <v>46141</v>
      </c>
      <c r="B69" s="17" t="s">
        <v>43</v>
      </c>
      <c r="C69" s="17" t="s">
        <v>19</v>
      </c>
      <c r="D69" s="17" t="s">
        <v>34</v>
      </c>
      <c r="E69" s="17" t="n">
        <v>1</v>
      </c>
      <c r="F69" s="18" t="n">
        <v>3500</v>
      </c>
      <c r="G69" s="19" t="n">
        <f aca="false">E69*F69</f>
        <v>3500</v>
      </c>
      <c r="H69" s="20" t="n">
        <f aca="false">MONTH(A69)</f>
        <v>4</v>
      </c>
    </row>
    <row r="70" customFormat="false" ht="15" hidden="false" customHeight="false" outlineLevel="0" collapsed="false">
      <c r="A70" s="16" t="n">
        <v>46142</v>
      </c>
      <c r="B70" s="17" t="s">
        <v>44</v>
      </c>
      <c r="C70" s="17" t="s">
        <v>23</v>
      </c>
      <c r="D70" s="17" t="s">
        <v>35</v>
      </c>
      <c r="E70" s="17" t="n">
        <v>23</v>
      </c>
      <c r="F70" s="18" t="n">
        <v>1800</v>
      </c>
      <c r="G70" s="19" t="n">
        <f aca="false">E70*F70</f>
        <v>41400</v>
      </c>
      <c r="H70" s="20" t="n">
        <f aca="false">MONTH(A70)</f>
        <v>4</v>
      </c>
    </row>
    <row r="71" customFormat="false" ht="15" hidden="false" customHeight="false" outlineLevel="0" collapsed="false">
      <c r="A71" s="16" t="n">
        <v>46143</v>
      </c>
      <c r="B71" s="17" t="s">
        <v>45</v>
      </c>
      <c r="C71" s="17" t="s">
        <v>13</v>
      </c>
      <c r="D71" s="17" t="s">
        <v>35</v>
      </c>
      <c r="E71" s="17" t="n">
        <v>14</v>
      </c>
      <c r="F71" s="18" t="n">
        <v>1800</v>
      </c>
      <c r="G71" s="19" t="n">
        <f aca="false">E71*F71</f>
        <v>25200</v>
      </c>
      <c r="H71" s="20" t="n">
        <f aca="false">MONTH(A71)</f>
        <v>5</v>
      </c>
    </row>
    <row r="72" customFormat="false" ht="15" hidden="false" customHeight="false" outlineLevel="0" collapsed="false">
      <c r="A72" s="16" t="n">
        <v>46148</v>
      </c>
      <c r="B72" s="17" t="s">
        <v>44</v>
      </c>
      <c r="C72" s="17" t="s">
        <v>23</v>
      </c>
      <c r="D72" s="17" t="s">
        <v>34</v>
      </c>
      <c r="E72" s="17" t="n">
        <v>21</v>
      </c>
      <c r="F72" s="18" t="n">
        <v>3500</v>
      </c>
      <c r="G72" s="19" t="n">
        <f aca="false">E72*F72</f>
        <v>73500</v>
      </c>
      <c r="H72" s="20" t="n">
        <f aca="false">MONTH(A72)</f>
        <v>5</v>
      </c>
    </row>
    <row r="73" customFormat="false" ht="15" hidden="false" customHeight="false" outlineLevel="0" collapsed="false">
      <c r="A73" s="16" t="n">
        <v>46150</v>
      </c>
      <c r="B73" s="17" t="s">
        <v>43</v>
      </c>
      <c r="C73" s="17" t="s">
        <v>23</v>
      </c>
      <c r="D73" s="17" t="s">
        <v>34</v>
      </c>
      <c r="E73" s="17" t="n">
        <v>15</v>
      </c>
      <c r="F73" s="18" t="n">
        <v>3500</v>
      </c>
      <c r="G73" s="19" t="n">
        <f aca="false">E73*F73</f>
        <v>52500</v>
      </c>
      <c r="H73" s="20" t="n">
        <f aca="false">MONTH(A73)</f>
        <v>5</v>
      </c>
    </row>
    <row r="74" customFormat="false" ht="15" hidden="false" customHeight="false" outlineLevel="0" collapsed="false">
      <c r="A74" s="16" t="n">
        <v>46150</v>
      </c>
      <c r="B74" s="17" t="s">
        <v>43</v>
      </c>
      <c r="C74" s="17" t="s">
        <v>21</v>
      </c>
      <c r="D74" s="17" t="s">
        <v>33</v>
      </c>
      <c r="E74" s="17" t="n">
        <v>6</v>
      </c>
      <c r="F74" s="18" t="n">
        <v>28000</v>
      </c>
      <c r="G74" s="19" t="n">
        <f aca="false">E74*F74</f>
        <v>168000</v>
      </c>
      <c r="H74" s="20" t="n">
        <f aca="false">MONTH(A74)</f>
        <v>5</v>
      </c>
    </row>
    <row r="75" customFormat="false" ht="15" hidden="false" customHeight="false" outlineLevel="0" collapsed="false">
      <c r="A75" s="16" t="n">
        <v>46156</v>
      </c>
      <c r="B75" s="17" t="s">
        <v>45</v>
      </c>
      <c r="C75" s="17" t="s">
        <v>13</v>
      </c>
      <c r="D75" s="17" t="s">
        <v>31</v>
      </c>
      <c r="E75" s="17" t="n">
        <v>5</v>
      </c>
      <c r="F75" s="18" t="n">
        <v>85000</v>
      </c>
      <c r="G75" s="19" t="n">
        <f aca="false">E75*F75</f>
        <v>425000</v>
      </c>
      <c r="H75" s="20" t="n">
        <f aca="false">MONTH(A75)</f>
        <v>5</v>
      </c>
    </row>
    <row r="76" customFormat="false" ht="15" hidden="false" customHeight="false" outlineLevel="0" collapsed="false">
      <c r="A76" s="16" t="n">
        <v>46156</v>
      </c>
      <c r="B76" s="17" t="s">
        <v>45</v>
      </c>
      <c r="C76" s="17" t="s">
        <v>17</v>
      </c>
      <c r="D76" s="17" t="s">
        <v>34</v>
      </c>
      <c r="E76" s="17" t="n">
        <v>16</v>
      </c>
      <c r="F76" s="18" t="n">
        <v>3500</v>
      </c>
      <c r="G76" s="19" t="n">
        <f aca="false">E76*F76</f>
        <v>56000</v>
      </c>
      <c r="H76" s="20" t="n">
        <f aca="false">MONTH(A76)</f>
        <v>5</v>
      </c>
    </row>
    <row r="77" customFormat="false" ht="15" hidden="false" customHeight="false" outlineLevel="0" collapsed="false">
      <c r="A77" s="16" t="n">
        <v>46157</v>
      </c>
      <c r="B77" s="17" t="s">
        <v>42</v>
      </c>
      <c r="C77" s="17" t="s">
        <v>17</v>
      </c>
      <c r="D77" s="17" t="s">
        <v>36</v>
      </c>
      <c r="E77" s="17" t="n">
        <v>10</v>
      </c>
      <c r="F77" s="18" t="n">
        <v>6500</v>
      </c>
      <c r="G77" s="19" t="n">
        <f aca="false">E77*F77</f>
        <v>65000</v>
      </c>
      <c r="H77" s="20" t="n">
        <f aca="false">MONTH(A77)</f>
        <v>5</v>
      </c>
    </row>
    <row r="78" customFormat="false" ht="15" hidden="false" customHeight="false" outlineLevel="0" collapsed="false">
      <c r="A78" s="16" t="n">
        <v>46160</v>
      </c>
      <c r="B78" s="17" t="s">
        <v>44</v>
      </c>
      <c r="C78" s="17" t="s">
        <v>17</v>
      </c>
      <c r="D78" s="17" t="s">
        <v>34</v>
      </c>
      <c r="E78" s="17" t="n">
        <v>12</v>
      </c>
      <c r="F78" s="18" t="n">
        <v>3500</v>
      </c>
      <c r="G78" s="19" t="n">
        <f aca="false">E78*F78</f>
        <v>42000</v>
      </c>
      <c r="H78" s="20" t="n">
        <f aca="false">MONTH(A78)</f>
        <v>5</v>
      </c>
    </row>
    <row r="79" customFormat="false" ht="15" hidden="false" customHeight="false" outlineLevel="0" collapsed="false">
      <c r="A79" s="16" t="n">
        <v>46162</v>
      </c>
      <c r="B79" s="17" t="s">
        <v>45</v>
      </c>
      <c r="C79" s="17" t="s">
        <v>17</v>
      </c>
      <c r="D79" s="17" t="s">
        <v>31</v>
      </c>
      <c r="E79" s="17" t="n">
        <v>3</v>
      </c>
      <c r="F79" s="18" t="n">
        <v>85000</v>
      </c>
      <c r="G79" s="19" t="n">
        <f aca="false">E79*F79</f>
        <v>255000</v>
      </c>
      <c r="H79" s="20" t="n">
        <f aca="false">MONTH(A79)</f>
        <v>5</v>
      </c>
    </row>
    <row r="80" customFormat="false" ht="15" hidden="false" customHeight="false" outlineLevel="0" collapsed="false">
      <c r="A80" s="16" t="n">
        <v>46171</v>
      </c>
      <c r="B80" s="17" t="s">
        <v>45</v>
      </c>
      <c r="C80" s="17" t="s">
        <v>17</v>
      </c>
      <c r="D80" s="17" t="s">
        <v>34</v>
      </c>
      <c r="E80" s="17" t="n">
        <v>12</v>
      </c>
      <c r="F80" s="18" t="n">
        <v>3500</v>
      </c>
      <c r="G80" s="19" t="n">
        <f aca="false">E80*F80</f>
        <v>42000</v>
      </c>
      <c r="H80" s="20" t="n">
        <f aca="false">MONTH(A80)</f>
        <v>5</v>
      </c>
    </row>
    <row r="81" customFormat="false" ht="15" hidden="false" customHeight="false" outlineLevel="0" collapsed="false">
      <c r="A81" s="16" t="n">
        <v>46172</v>
      </c>
      <c r="B81" s="17" t="s">
        <v>44</v>
      </c>
      <c r="C81" s="17" t="s">
        <v>15</v>
      </c>
      <c r="D81" s="17" t="s">
        <v>36</v>
      </c>
      <c r="E81" s="17" t="n">
        <v>16</v>
      </c>
      <c r="F81" s="18" t="n">
        <v>6500</v>
      </c>
      <c r="G81" s="19" t="n">
        <f aca="false">E81*F81</f>
        <v>104000</v>
      </c>
      <c r="H81" s="20" t="n">
        <f aca="false">MONTH(A81)</f>
        <v>5</v>
      </c>
    </row>
    <row r="82" customFormat="false" ht="15" hidden="false" customHeight="false" outlineLevel="0" collapsed="false">
      <c r="A82" s="16" t="n">
        <v>46173</v>
      </c>
      <c r="B82" s="17" t="s">
        <v>43</v>
      </c>
      <c r="C82" s="17" t="s">
        <v>15</v>
      </c>
      <c r="D82" s="17" t="s">
        <v>31</v>
      </c>
      <c r="E82" s="17" t="n">
        <v>3</v>
      </c>
      <c r="F82" s="18" t="n">
        <v>85000</v>
      </c>
      <c r="G82" s="19" t="n">
        <f aca="false">E82*F82</f>
        <v>255000</v>
      </c>
      <c r="H82" s="20" t="n">
        <f aca="false">MONTH(A82)</f>
        <v>5</v>
      </c>
    </row>
    <row r="83" customFormat="false" ht="15" hidden="false" customHeight="false" outlineLevel="0" collapsed="false">
      <c r="A83" s="16" t="n">
        <v>46176</v>
      </c>
      <c r="B83" s="17" t="s">
        <v>45</v>
      </c>
      <c r="C83" s="17" t="s">
        <v>13</v>
      </c>
      <c r="D83" s="17" t="s">
        <v>33</v>
      </c>
      <c r="E83" s="17" t="n">
        <v>3</v>
      </c>
      <c r="F83" s="18" t="n">
        <v>28000</v>
      </c>
      <c r="G83" s="19" t="n">
        <f aca="false">E83*F83</f>
        <v>84000</v>
      </c>
      <c r="H83" s="20" t="n">
        <f aca="false">MONTH(A83)</f>
        <v>6</v>
      </c>
    </row>
    <row r="84" customFormat="false" ht="15" hidden="false" customHeight="false" outlineLevel="0" collapsed="false">
      <c r="A84" s="16" t="n">
        <v>46178</v>
      </c>
      <c r="B84" s="17" t="s">
        <v>42</v>
      </c>
      <c r="C84" s="17" t="s">
        <v>21</v>
      </c>
      <c r="D84" s="17" t="s">
        <v>32</v>
      </c>
      <c r="E84" s="17" t="n">
        <v>7</v>
      </c>
      <c r="F84" s="18" t="n">
        <v>22000</v>
      </c>
      <c r="G84" s="19" t="n">
        <f aca="false">E84*F84</f>
        <v>154000</v>
      </c>
      <c r="H84" s="20" t="n">
        <f aca="false">MONTH(A84)</f>
        <v>6</v>
      </c>
    </row>
    <row r="85" customFormat="false" ht="15" hidden="false" customHeight="false" outlineLevel="0" collapsed="false">
      <c r="A85" s="16" t="n">
        <v>46178</v>
      </c>
      <c r="B85" s="17" t="s">
        <v>45</v>
      </c>
      <c r="C85" s="17" t="s">
        <v>13</v>
      </c>
      <c r="D85" s="17" t="s">
        <v>35</v>
      </c>
      <c r="E85" s="17" t="n">
        <v>16</v>
      </c>
      <c r="F85" s="18" t="n">
        <v>1800</v>
      </c>
      <c r="G85" s="19" t="n">
        <f aca="false">E85*F85</f>
        <v>28800</v>
      </c>
      <c r="H85" s="20" t="n">
        <f aca="false">MONTH(A85)</f>
        <v>6</v>
      </c>
    </row>
    <row r="86" customFormat="false" ht="15" hidden="false" customHeight="false" outlineLevel="0" collapsed="false">
      <c r="A86" s="16" t="n">
        <v>46180</v>
      </c>
      <c r="B86" s="17" t="s">
        <v>44</v>
      </c>
      <c r="C86" s="17" t="s">
        <v>15</v>
      </c>
      <c r="D86" s="17" t="s">
        <v>31</v>
      </c>
      <c r="E86" s="17" t="n">
        <v>8</v>
      </c>
      <c r="F86" s="18" t="n">
        <v>85000</v>
      </c>
      <c r="G86" s="19" t="n">
        <f aca="false">E86*F86</f>
        <v>680000</v>
      </c>
      <c r="H86" s="20" t="n">
        <f aca="false">MONTH(A86)</f>
        <v>6</v>
      </c>
    </row>
    <row r="87" customFormat="false" ht="15" hidden="false" customHeight="false" outlineLevel="0" collapsed="false">
      <c r="A87" s="16" t="n">
        <v>46181</v>
      </c>
      <c r="B87" s="17" t="s">
        <v>42</v>
      </c>
      <c r="C87" s="17" t="s">
        <v>15</v>
      </c>
      <c r="D87" s="17" t="s">
        <v>32</v>
      </c>
      <c r="E87" s="17" t="n">
        <v>1</v>
      </c>
      <c r="F87" s="18" t="n">
        <v>22000</v>
      </c>
      <c r="G87" s="19" t="n">
        <f aca="false">E87*F87</f>
        <v>22000</v>
      </c>
      <c r="H87" s="20" t="n">
        <f aca="false">MONTH(A87)</f>
        <v>6</v>
      </c>
    </row>
    <row r="88" customFormat="false" ht="15" hidden="false" customHeight="false" outlineLevel="0" collapsed="false">
      <c r="A88" s="16" t="n">
        <v>46184</v>
      </c>
      <c r="B88" s="17" t="s">
        <v>45</v>
      </c>
      <c r="C88" s="17" t="s">
        <v>19</v>
      </c>
      <c r="D88" s="17" t="s">
        <v>36</v>
      </c>
      <c r="E88" s="17" t="n">
        <v>17</v>
      </c>
      <c r="F88" s="18" t="n">
        <v>6500</v>
      </c>
      <c r="G88" s="19" t="n">
        <f aca="false">E88*F88</f>
        <v>110500</v>
      </c>
      <c r="H88" s="20" t="n">
        <f aca="false">MONTH(A88)</f>
        <v>6</v>
      </c>
    </row>
    <row r="89" customFormat="false" ht="15" hidden="false" customHeight="false" outlineLevel="0" collapsed="false">
      <c r="A89" s="16" t="n">
        <v>46189</v>
      </c>
      <c r="B89" s="17" t="s">
        <v>43</v>
      </c>
      <c r="C89" s="17" t="s">
        <v>13</v>
      </c>
      <c r="D89" s="17" t="s">
        <v>36</v>
      </c>
      <c r="E89" s="17" t="n">
        <v>18</v>
      </c>
      <c r="F89" s="18" t="n">
        <v>6500</v>
      </c>
      <c r="G89" s="19" t="n">
        <f aca="false">E89*F89</f>
        <v>117000</v>
      </c>
      <c r="H89" s="20" t="n">
        <f aca="false">MONTH(A89)</f>
        <v>6</v>
      </c>
    </row>
    <row r="90" customFormat="false" ht="15" hidden="false" customHeight="false" outlineLevel="0" collapsed="false">
      <c r="A90" s="16" t="n">
        <v>46189</v>
      </c>
      <c r="B90" s="17" t="s">
        <v>43</v>
      </c>
      <c r="C90" s="17" t="s">
        <v>13</v>
      </c>
      <c r="D90" s="17" t="s">
        <v>33</v>
      </c>
      <c r="E90" s="17" t="n">
        <v>4</v>
      </c>
      <c r="F90" s="18" t="n">
        <v>28000</v>
      </c>
      <c r="G90" s="19" t="n">
        <f aca="false">E90*F90</f>
        <v>112000</v>
      </c>
      <c r="H90" s="20" t="n">
        <f aca="false">MONTH(A90)</f>
        <v>6</v>
      </c>
    </row>
    <row r="91" customFormat="false" ht="15" hidden="false" customHeight="false" outlineLevel="0" collapsed="false">
      <c r="A91" s="16" t="n">
        <v>46191</v>
      </c>
      <c r="B91" s="17" t="s">
        <v>42</v>
      </c>
      <c r="C91" s="17" t="s">
        <v>15</v>
      </c>
      <c r="D91" s="17" t="s">
        <v>35</v>
      </c>
      <c r="E91" s="17" t="n">
        <v>2</v>
      </c>
      <c r="F91" s="18" t="n">
        <v>1800</v>
      </c>
      <c r="G91" s="19" t="n">
        <f aca="false">E91*F91</f>
        <v>3600</v>
      </c>
      <c r="H91" s="20" t="n">
        <f aca="false">MONTH(A91)</f>
        <v>6</v>
      </c>
    </row>
    <row r="92" customFormat="false" ht="15" hidden="false" customHeight="false" outlineLevel="0" collapsed="false">
      <c r="A92" s="16" t="n">
        <v>46194</v>
      </c>
      <c r="B92" s="17" t="s">
        <v>44</v>
      </c>
      <c r="C92" s="17" t="s">
        <v>19</v>
      </c>
      <c r="D92" s="17" t="s">
        <v>34</v>
      </c>
      <c r="E92" s="17" t="n">
        <v>9</v>
      </c>
      <c r="F92" s="18" t="n">
        <v>3500</v>
      </c>
      <c r="G92" s="19" t="n">
        <f aca="false">E92*F92</f>
        <v>31500</v>
      </c>
      <c r="H92" s="20" t="n">
        <f aca="false">MONTH(A92)</f>
        <v>6</v>
      </c>
    </row>
    <row r="93" customFormat="false" ht="15" hidden="false" customHeight="false" outlineLevel="0" collapsed="false">
      <c r="A93" s="16" t="n">
        <v>46196</v>
      </c>
      <c r="B93" s="17" t="s">
        <v>42</v>
      </c>
      <c r="C93" s="17" t="s">
        <v>17</v>
      </c>
      <c r="D93" s="17" t="s">
        <v>33</v>
      </c>
      <c r="E93" s="17" t="n">
        <v>1</v>
      </c>
      <c r="F93" s="18" t="n">
        <v>28000</v>
      </c>
      <c r="G93" s="19" t="n">
        <f aca="false">E93*F93</f>
        <v>28000</v>
      </c>
      <c r="H93" s="20" t="n">
        <f aca="false">MONTH(A93)</f>
        <v>6</v>
      </c>
    </row>
    <row r="94" customFormat="false" ht="15" hidden="false" customHeight="false" outlineLevel="0" collapsed="false">
      <c r="A94" s="16" t="n">
        <v>46196</v>
      </c>
      <c r="B94" s="17" t="s">
        <v>45</v>
      </c>
      <c r="C94" s="17" t="s">
        <v>17</v>
      </c>
      <c r="D94" s="17" t="s">
        <v>34</v>
      </c>
      <c r="E94" s="17" t="n">
        <v>11</v>
      </c>
      <c r="F94" s="18" t="n">
        <v>3500</v>
      </c>
      <c r="G94" s="19" t="n">
        <f aca="false">E94*F94</f>
        <v>38500</v>
      </c>
      <c r="H94" s="20" t="n">
        <f aca="false">MONTH(A94)</f>
        <v>6</v>
      </c>
    </row>
    <row r="95" customFormat="false" ht="15" hidden="false" customHeight="false" outlineLevel="0" collapsed="false">
      <c r="A95" s="16" t="n">
        <v>46202</v>
      </c>
      <c r="B95" s="17" t="s">
        <v>44</v>
      </c>
      <c r="C95" s="17" t="s">
        <v>21</v>
      </c>
      <c r="D95" s="17" t="s">
        <v>34</v>
      </c>
      <c r="E95" s="17" t="n">
        <v>25</v>
      </c>
      <c r="F95" s="18" t="n">
        <v>3500</v>
      </c>
      <c r="G95" s="19" t="n">
        <f aca="false">E95*F95</f>
        <v>87500</v>
      </c>
      <c r="H95" s="20" t="n">
        <f aca="false">MONTH(A95)</f>
        <v>6</v>
      </c>
    </row>
    <row r="96" customFormat="false" ht="15" hidden="false" customHeight="false" outlineLevel="0" collapsed="false">
      <c r="A96" s="16" t="n">
        <v>46207</v>
      </c>
      <c r="B96" s="17" t="s">
        <v>42</v>
      </c>
      <c r="C96" s="17" t="s">
        <v>13</v>
      </c>
      <c r="D96" s="17" t="s">
        <v>34</v>
      </c>
      <c r="E96" s="17" t="n">
        <v>9</v>
      </c>
      <c r="F96" s="18" t="n">
        <v>3500</v>
      </c>
      <c r="G96" s="19" t="n">
        <f aca="false">E96*F96</f>
        <v>31500</v>
      </c>
      <c r="H96" s="20" t="n">
        <f aca="false">MONTH(A96)</f>
        <v>7</v>
      </c>
    </row>
    <row r="97" customFormat="false" ht="15" hidden="false" customHeight="false" outlineLevel="0" collapsed="false">
      <c r="A97" s="16" t="n">
        <v>46207</v>
      </c>
      <c r="B97" s="17" t="s">
        <v>42</v>
      </c>
      <c r="C97" s="17" t="s">
        <v>13</v>
      </c>
      <c r="D97" s="17" t="s">
        <v>32</v>
      </c>
      <c r="E97" s="17" t="n">
        <v>6</v>
      </c>
      <c r="F97" s="18" t="n">
        <v>22000</v>
      </c>
      <c r="G97" s="19" t="n">
        <f aca="false">E97*F97</f>
        <v>132000</v>
      </c>
      <c r="H97" s="20" t="n">
        <f aca="false">MONTH(A97)</f>
        <v>7</v>
      </c>
    </row>
    <row r="98" customFormat="false" ht="15" hidden="false" customHeight="false" outlineLevel="0" collapsed="false">
      <c r="A98" s="16" t="n">
        <v>46207</v>
      </c>
      <c r="B98" s="17" t="s">
        <v>43</v>
      </c>
      <c r="C98" s="17" t="s">
        <v>19</v>
      </c>
      <c r="D98" s="17" t="s">
        <v>31</v>
      </c>
      <c r="E98" s="17" t="n">
        <v>1</v>
      </c>
      <c r="F98" s="18" t="n">
        <v>85000</v>
      </c>
      <c r="G98" s="19" t="n">
        <f aca="false">E98*F98</f>
        <v>85000</v>
      </c>
      <c r="H98" s="20" t="n">
        <f aca="false">MONTH(A98)</f>
        <v>7</v>
      </c>
    </row>
    <row r="99" customFormat="false" ht="15" hidden="false" customHeight="false" outlineLevel="0" collapsed="false">
      <c r="A99" s="16" t="n">
        <v>46212</v>
      </c>
      <c r="B99" s="17" t="s">
        <v>43</v>
      </c>
      <c r="C99" s="17" t="s">
        <v>13</v>
      </c>
      <c r="D99" s="17" t="s">
        <v>32</v>
      </c>
      <c r="E99" s="17" t="n">
        <v>6</v>
      </c>
      <c r="F99" s="18" t="n">
        <v>22000</v>
      </c>
      <c r="G99" s="19" t="n">
        <f aca="false">E99*F99</f>
        <v>132000</v>
      </c>
      <c r="H99" s="20" t="n">
        <f aca="false">MONTH(A99)</f>
        <v>7</v>
      </c>
    </row>
    <row r="100" customFormat="false" ht="15" hidden="false" customHeight="false" outlineLevel="0" collapsed="false">
      <c r="A100" s="16" t="n">
        <v>46215</v>
      </c>
      <c r="B100" s="17" t="s">
        <v>44</v>
      </c>
      <c r="C100" s="17" t="s">
        <v>17</v>
      </c>
      <c r="D100" s="17" t="s">
        <v>33</v>
      </c>
      <c r="E100" s="17" t="n">
        <v>1</v>
      </c>
      <c r="F100" s="18" t="n">
        <v>28000</v>
      </c>
      <c r="G100" s="19" t="n">
        <f aca="false">E100*F100</f>
        <v>28000</v>
      </c>
      <c r="H100" s="20" t="n">
        <f aca="false">MONTH(A100)</f>
        <v>7</v>
      </c>
    </row>
    <row r="101" customFormat="false" ht="15" hidden="false" customHeight="false" outlineLevel="0" collapsed="false">
      <c r="A101" s="16" t="n">
        <v>46216</v>
      </c>
      <c r="B101" s="17" t="s">
        <v>42</v>
      </c>
      <c r="C101" s="17" t="s">
        <v>19</v>
      </c>
      <c r="D101" s="17" t="s">
        <v>33</v>
      </c>
      <c r="E101" s="17" t="n">
        <v>3</v>
      </c>
      <c r="F101" s="18" t="n">
        <v>28000</v>
      </c>
      <c r="G101" s="19" t="n">
        <f aca="false">E101*F101</f>
        <v>84000</v>
      </c>
      <c r="H101" s="20" t="n">
        <f aca="false">MONTH(A101)</f>
        <v>7</v>
      </c>
    </row>
    <row r="102" customFormat="false" ht="15" hidden="false" customHeight="false" outlineLevel="0" collapsed="false">
      <c r="A102" s="16" t="n">
        <v>46221</v>
      </c>
      <c r="B102" s="17" t="s">
        <v>45</v>
      </c>
      <c r="C102" s="17" t="s">
        <v>21</v>
      </c>
      <c r="D102" s="17" t="s">
        <v>33</v>
      </c>
      <c r="E102" s="17" t="n">
        <v>1</v>
      </c>
      <c r="F102" s="18" t="n">
        <v>28000</v>
      </c>
      <c r="G102" s="19" t="n">
        <f aca="false">E102*F102</f>
        <v>28000</v>
      </c>
      <c r="H102" s="20" t="n">
        <f aca="false">MONTH(A102)</f>
        <v>7</v>
      </c>
    </row>
    <row r="103" customFormat="false" ht="15" hidden="false" customHeight="false" outlineLevel="0" collapsed="false">
      <c r="A103" s="16" t="n">
        <v>46222</v>
      </c>
      <c r="B103" s="17" t="s">
        <v>43</v>
      </c>
      <c r="C103" s="17" t="s">
        <v>15</v>
      </c>
      <c r="D103" s="17" t="s">
        <v>33</v>
      </c>
      <c r="E103" s="17" t="n">
        <v>5</v>
      </c>
      <c r="F103" s="18" t="n">
        <v>28000</v>
      </c>
      <c r="G103" s="19" t="n">
        <f aca="false">E103*F103</f>
        <v>140000</v>
      </c>
      <c r="H103" s="20" t="n">
        <f aca="false">MONTH(A103)</f>
        <v>7</v>
      </c>
    </row>
    <row r="104" customFormat="false" ht="15" hidden="false" customHeight="false" outlineLevel="0" collapsed="false">
      <c r="A104" s="16" t="n">
        <v>46224</v>
      </c>
      <c r="B104" s="17" t="s">
        <v>45</v>
      </c>
      <c r="C104" s="17" t="s">
        <v>23</v>
      </c>
      <c r="D104" s="17" t="s">
        <v>31</v>
      </c>
      <c r="E104" s="17" t="n">
        <v>3</v>
      </c>
      <c r="F104" s="18" t="n">
        <v>85000</v>
      </c>
      <c r="G104" s="19" t="n">
        <f aca="false">E104*F104</f>
        <v>255000</v>
      </c>
      <c r="H104" s="20" t="n">
        <f aca="false">MONTH(A104)</f>
        <v>7</v>
      </c>
    </row>
    <row r="105" customFormat="false" ht="15" hidden="false" customHeight="false" outlineLevel="0" collapsed="false">
      <c r="A105" s="16" t="n">
        <v>46225</v>
      </c>
      <c r="B105" s="17" t="s">
        <v>43</v>
      </c>
      <c r="C105" s="17" t="s">
        <v>23</v>
      </c>
      <c r="D105" s="17" t="s">
        <v>34</v>
      </c>
      <c r="E105" s="17" t="n">
        <v>3</v>
      </c>
      <c r="F105" s="18" t="n">
        <v>3500</v>
      </c>
      <c r="G105" s="19" t="n">
        <f aca="false">E105*F105</f>
        <v>10500</v>
      </c>
      <c r="H105" s="20" t="n">
        <f aca="false">MONTH(A105)</f>
        <v>7</v>
      </c>
    </row>
    <row r="106" customFormat="false" ht="15" hidden="false" customHeight="false" outlineLevel="0" collapsed="false">
      <c r="A106" s="16" t="n">
        <v>46226</v>
      </c>
      <c r="B106" s="17" t="s">
        <v>45</v>
      </c>
      <c r="C106" s="17" t="s">
        <v>23</v>
      </c>
      <c r="D106" s="17" t="s">
        <v>34</v>
      </c>
      <c r="E106" s="17" t="n">
        <v>8</v>
      </c>
      <c r="F106" s="18" t="n">
        <v>3500</v>
      </c>
      <c r="G106" s="19" t="n">
        <f aca="false">E106*F106</f>
        <v>28000</v>
      </c>
      <c r="H106" s="20" t="n">
        <f aca="false">MONTH(A106)</f>
        <v>7</v>
      </c>
    </row>
    <row r="107" customFormat="false" ht="15" hidden="false" customHeight="false" outlineLevel="0" collapsed="false">
      <c r="A107" s="16" t="n">
        <v>46227</v>
      </c>
      <c r="B107" s="17" t="s">
        <v>44</v>
      </c>
      <c r="C107" s="17" t="s">
        <v>19</v>
      </c>
      <c r="D107" s="17" t="s">
        <v>35</v>
      </c>
      <c r="E107" s="17" t="n">
        <v>1</v>
      </c>
      <c r="F107" s="18" t="n">
        <v>1800</v>
      </c>
      <c r="G107" s="19" t="n">
        <f aca="false">E107*F107</f>
        <v>1800</v>
      </c>
      <c r="H107" s="20" t="n">
        <f aca="false">MONTH(A107)</f>
        <v>7</v>
      </c>
    </row>
    <row r="108" customFormat="false" ht="15" hidden="false" customHeight="false" outlineLevel="0" collapsed="false">
      <c r="A108" s="16" t="n">
        <v>46230</v>
      </c>
      <c r="B108" s="17" t="s">
        <v>43</v>
      </c>
      <c r="C108" s="17" t="s">
        <v>13</v>
      </c>
      <c r="D108" s="17" t="s">
        <v>31</v>
      </c>
      <c r="E108" s="17" t="n">
        <v>8</v>
      </c>
      <c r="F108" s="18" t="n">
        <v>85000</v>
      </c>
      <c r="G108" s="19" t="n">
        <f aca="false">E108*F108</f>
        <v>680000</v>
      </c>
      <c r="H108" s="20" t="n">
        <f aca="false">MONTH(A108)</f>
        <v>7</v>
      </c>
    </row>
    <row r="109" customFormat="false" ht="15" hidden="false" customHeight="false" outlineLevel="0" collapsed="false">
      <c r="A109" s="16" t="n">
        <v>46230</v>
      </c>
      <c r="B109" s="17" t="s">
        <v>45</v>
      </c>
      <c r="C109" s="17" t="s">
        <v>19</v>
      </c>
      <c r="D109" s="17" t="s">
        <v>33</v>
      </c>
      <c r="E109" s="17" t="n">
        <v>6</v>
      </c>
      <c r="F109" s="18" t="n">
        <v>28000</v>
      </c>
      <c r="G109" s="19" t="n">
        <f aca="false">E109*F109</f>
        <v>168000</v>
      </c>
      <c r="H109" s="20" t="n">
        <f aca="false">MONTH(A109)</f>
        <v>7</v>
      </c>
    </row>
    <row r="110" customFormat="false" ht="15" hidden="false" customHeight="false" outlineLevel="0" collapsed="false">
      <c r="A110" s="16" t="n">
        <v>46233</v>
      </c>
      <c r="B110" s="17" t="s">
        <v>45</v>
      </c>
      <c r="C110" s="17" t="s">
        <v>23</v>
      </c>
      <c r="D110" s="17" t="s">
        <v>34</v>
      </c>
      <c r="E110" s="17" t="n">
        <v>10</v>
      </c>
      <c r="F110" s="18" t="n">
        <v>3500</v>
      </c>
      <c r="G110" s="19" t="n">
        <f aca="false">E110*F110</f>
        <v>35000</v>
      </c>
      <c r="H110" s="20" t="n">
        <f aca="false">MONTH(A110)</f>
        <v>7</v>
      </c>
    </row>
    <row r="111" customFormat="false" ht="15" hidden="false" customHeight="false" outlineLevel="0" collapsed="false">
      <c r="A111" s="16" t="n">
        <v>46235</v>
      </c>
      <c r="B111" s="17" t="s">
        <v>42</v>
      </c>
      <c r="C111" s="17" t="s">
        <v>17</v>
      </c>
      <c r="D111" s="17" t="s">
        <v>33</v>
      </c>
      <c r="E111" s="17" t="n">
        <v>5</v>
      </c>
      <c r="F111" s="18" t="n">
        <v>28000</v>
      </c>
      <c r="G111" s="19" t="n">
        <f aca="false">E111*F111</f>
        <v>140000</v>
      </c>
      <c r="H111" s="20" t="n">
        <f aca="false">MONTH(A111)</f>
        <v>8</v>
      </c>
    </row>
    <row r="112" customFormat="false" ht="15" hidden="false" customHeight="false" outlineLevel="0" collapsed="false">
      <c r="A112" s="16" t="n">
        <v>46236</v>
      </c>
      <c r="B112" s="17" t="s">
        <v>45</v>
      </c>
      <c r="C112" s="17" t="s">
        <v>13</v>
      </c>
      <c r="D112" s="17" t="s">
        <v>33</v>
      </c>
      <c r="E112" s="17" t="n">
        <v>4</v>
      </c>
      <c r="F112" s="18" t="n">
        <v>28000</v>
      </c>
      <c r="G112" s="19" t="n">
        <f aca="false">E112*F112</f>
        <v>112000</v>
      </c>
      <c r="H112" s="20" t="n">
        <f aca="false">MONTH(A112)</f>
        <v>8</v>
      </c>
    </row>
    <row r="113" customFormat="false" ht="15" hidden="false" customHeight="false" outlineLevel="0" collapsed="false">
      <c r="A113" s="16" t="n">
        <v>46238</v>
      </c>
      <c r="B113" s="17" t="s">
        <v>42</v>
      </c>
      <c r="C113" s="17" t="s">
        <v>15</v>
      </c>
      <c r="D113" s="17" t="s">
        <v>31</v>
      </c>
      <c r="E113" s="17" t="n">
        <v>7</v>
      </c>
      <c r="F113" s="18" t="n">
        <v>85000</v>
      </c>
      <c r="G113" s="19" t="n">
        <f aca="false">E113*F113</f>
        <v>595000</v>
      </c>
      <c r="H113" s="20" t="n">
        <f aca="false">MONTH(A113)</f>
        <v>8</v>
      </c>
    </row>
    <row r="114" customFormat="false" ht="15" hidden="false" customHeight="false" outlineLevel="0" collapsed="false">
      <c r="A114" s="16" t="n">
        <v>46238</v>
      </c>
      <c r="B114" s="17" t="s">
        <v>43</v>
      </c>
      <c r="C114" s="17" t="s">
        <v>15</v>
      </c>
      <c r="D114" s="17" t="s">
        <v>33</v>
      </c>
      <c r="E114" s="17" t="n">
        <v>1</v>
      </c>
      <c r="F114" s="18" t="n">
        <v>28000</v>
      </c>
      <c r="G114" s="19" t="n">
        <f aca="false">E114*F114</f>
        <v>28000</v>
      </c>
      <c r="H114" s="20" t="n">
        <f aca="false">MONTH(A114)</f>
        <v>8</v>
      </c>
    </row>
    <row r="115" customFormat="false" ht="15" hidden="false" customHeight="false" outlineLevel="0" collapsed="false">
      <c r="A115" s="16" t="n">
        <v>46239</v>
      </c>
      <c r="B115" s="17" t="s">
        <v>42</v>
      </c>
      <c r="C115" s="17" t="s">
        <v>19</v>
      </c>
      <c r="D115" s="17" t="s">
        <v>36</v>
      </c>
      <c r="E115" s="17" t="n">
        <v>5</v>
      </c>
      <c r="F115" s="18" t="n">
        <v>6500</v>
      </c>
      <c r="G115" s="19" t="n">
        <f aca="false">E115*F115</f>
        <v>32500</v>
      </c>
      <c r="H115" s="20" t="n">
        <f aca="false">MONTH(A115)</f>
        <v>8</v>
      </c>
    </row>
    <row r="116" customFormat="false" ht="15" hidden="false" customHeight="false" outlineLevel="0" collapsed="false">
      <c r="A116" s="16" t="n">
        <v>46240</v>
      </c>
      <c r="B116" s="17" t="s">
        <v>42</v>
      </c>
      <c r="C116" s="17" t="s">
        <v>13</v>
      </c>
      <c r="D116" s="17" t="s">
        <v>31</v>
      </c>
      <c r="E116" s="17" t="n">
        <v>2</v>
      </c>
      <c r="F116" s="18" t="n">
        <v>85000</v>
      </c>
      <c r="G116" s="19" t="n">
        <f aca="false">E116*F116</f>
        <v>170000</v>
      </c>
      <c r="H116" s="20" t="n">
        <f aca="false">MONTH(A116)</f>
        <v>8</v>
      </c>
    </row>
    <row r="117" customFormat="false" ht="15" hidden="false" customHeight="false" outlineLevel="0" collapsed="false">
      <c r="A117" s="16" t="n">
        <v>46240</v>
      </c>
      <c r="B117" s="17" t="s">
        <v>43</v>
      </c>
      <c r="C117" s="17" t="s">
        <v>21</v>
      </c>
      <c r="D117" s="17" t="s">
        <v>36</v>
      </c>
      <c r="E117" s="17" t="n">
        <v>16</v>
      </c>
      <c r="F117" s="18" t="n">
        <v>6500</v>
      </c>
      <c r="G117" s="19" t="n">
        <f aca="false">E117*F117</f>
        <v>104000</v>
      </c>
      <c r="H117" s="20" t="n">
        <f aca="false">MONTH(A117)</f>
        <v>8</v>
      </c>
    </row>
    <row r="118" customFormat="false" ht="15" hidden="false" customHeight="false" outlineLevel="0" collapsed="false">
      <c r="A118" s="16" t="n">
        <v>46242</v>
      </c>
      <c r="B118" s="17" t="s">
        <v>45</v>
      </c>
      <c r="C118" s="17" t="s">
        <v>23</v>
      </c>
      <c r="D118" s="17" t="s">
        <v>31</v>
      </c>
      <c r="E118" s="17" t="n">
        <v>5</v>
      </c>
      <c r="F118" s="18" t="n">
        <v>85000</v>
      </c>
      <c r="G118" s="19" t="n">
        <f aca="false">E118*F118</f>
        <v>425000</v>
      </c>
      <c r="H118" s="20" t="n">
        <f aca="false">MONTH(A118)</f>
        <v>8</v>
      </c>
    </row>
    <row r="119" customFormat="false" ht="15" hidden="false" customHeight="false" outlineLevel="0" collapsed="false">
      <c r="A119" s="16" t="n">
        <v>46243</v>
      </c>
      <c r="B119" s="17" t="s">
        <v>44</v>
      </c>
      <c r="C119" s="17" t="s">
        <v>13</v>
      </c>
      <c r="D119" s="17" t="s">
        <v>32</v>
      </c>
      <c r="E119" s="17" t="n">
        <v>7</v>
      </c>
      <c r="F119" s="18" t="n">
        <v>22000</v>
      </c>
      <c r="G119" s="19" t="n">
        <f aca="false">E119*F119</f>
        <v>154000</v>
      </c>
      <c r="H119" s="20" t="n">
        <f aca="false">MONTH(A119)</f>
        <v>8</v>
      </c>
    </row>
    <row r="120" customFormat="false" ht="15" hidden="false" customHeight="false" outlineLevel="0" collapsed="false">
      <c r="A120" s="16" t="n">
        <v>46243</v>
      </c>
      <c r="B120" s="17" t="s">
        <v>45</v>
      </c>
      <c r="C120" s="17" t="s">
        <v>19</v>
      </c>
      <c r="D120" s="17" t="s">
        <v>34</v>
      </c>
      <c r="E120" s="17" t="n">
        <v>6</v>
      </c>
      <c r="F120" s="18" t="n">
        <v>3500</v>
      </c>
      <c r="G120" s="19" t="n">
        <f aca="false">E120*F120</f>
        <v>21000</v>
      </c>
      <c r="H120" s="20" t="n">
        <f aca="false">MONTH(A120)</f>
        <v>8</v>
      </c>
    </row>
    <row r="121" customFormat="false" ht="15" hidden="false" customHeight="false" outlineLevel="0" collapsed="false">
      <c r="A121" s="16" t="n">
        <v>46244</v>
      </c>
      <c r="B121" s="17" t="s">
        <v>44</v>
      </c>
      <c r="C121" s="17" t="s">
        <v>15</v>
      </c>
      <c r="D121" s="17" t="s">
        <v>33</v>
      </c>
      <c r="E121" s="17" t="n">
        <v>1</v>
      </c>
      <c r="F121" s="18" t="n">
        <v>28000</v>
      </c>
      <c r="G121" s="19" t="n">
        <f aca="false">E121*F121</f>
        <v>28000</v>
      </c>
      <c r="H121" s="20" t="n">
        <f aca="false">MONTH(A121)</f>
        <v>8</v>
      </c>
    </row>
    <row r="122" customFormat="false" ht="15" hidden="false" customHeight="false" outlineLevel="0" collapsed="false">
      <c r="A122" s="16" t="n">
        <v>46244</v>
      </c>
      <c r="B122" s="17" t="s">
        <v>43</v>
      </c>
      <c r="C122" s="17" t="s">
        <v>21</v>
      </c>
      <c r="D122" s="17" t="s">
        <v>36</v>
      </c>
      <c r="E122" s="17" t="n">
        <v>13</v>
      </c>
      <c r="F122" s="18" t="n">
        <v>6500</v>
      </c>
      <c r="G122" s="19" t="n">
        <f aca="false">E122*F122</f>
        <v>84500</v>
      </c>
      <c r="H122" s="20" t="n">
        <f aca="false">MONTH(A122)</f>
        <v>8</v>
      </c>
    </row>
    <row r="123" customFormat="false" ht="15" hidden="false" customHeight="false" outlineLevel="0" collapsed="false">
      <c r="A123" s="16" t="n">
        <v>46245</v>
      </c>
      <c r="B123" s="17" t="s">
        <v>42</v>
      </c>
      <c r="C123" s="17" t="s">
        <v>13</v>
      </c>
      <c r="D123" s="17" t="s">
        <v>36</v>
      </c>
      <c r="E123" s="17" t="n">
        <v>24</v>
      </c>
      <c r="F123" s="18" t="n">
        <v>6500</v>
      </c>
      <c r="G123" s="19" t="n">
        <f aca="false">E123*F123</f>
        <v>156000</v>
      </c>
      <c r="H123" s="20" t="n">
        <f aca="false">MONTH(A123)</f>
        <v>8</v>
      </c>
    </row>
    <row r="124" customFormat="false" ht="15" hidden="false" customHeight="false" outlineLevel="0" collapsed="false">
      <c r="A124" s="16" t="n">
        <v>46248</v>
      </c>
      <c r="B124" s="17" t="s">
        <v>44</v>
      </c>
      <c r="C124" s="17" t="s">
        <v>15</v>
      </c>
      <c r="D124" s="17" t="s">
        <v>32</v>
      </c>
      <c r="E124" s="17" t="n">
        <v>3</v>
      </c>
      <c r="F124" s="18" t="n">
        <v>22000</v>
      </c>
      <c r="G124" s="19" t="n">
        <f aca="false">E124*F124</f>
        <v>66000</v>
      </c>
      <c r="H124" s="20" t="n">
        <f aca="false">MONTH(A124)</f>
        <v>8</v>
      </c>
    </row>
    <row r="125" customFormat="false" ht="15" hidden="false" customHeight="false" outlineLevel="0" collapsed="false">
      <c r="A125" s="16" t="n">
        <v>46249</v>
      </c>
      <c r="B125" s="17" t="s">
        <v>44</v>
      </c>
      <c r="C125" s="17" t="s">
        <v>23</v>
      </c>
      <c r="D125" s="17" t="s">
        <v>33</v>
      </c>
      <c r="E125" s="17" t="n">
        <v>4</v>
      </c>
      <c r="F125" s="18" t="n">
        <v>28000</v>
      </c>
      <c r="G125" s="19" t="n">
        <f aca="false">E125*F125</f>
        <v>112000</v>
      </c>
      <c r="H125" s="20" t="n">
        <f aca="false">MONTH(A125)</f>
        <v>8</v>
      </c>
    </row>
    <row r="126" customFormat="false" ht="15" hidden="false" customHeight="false" outlineLevel="0" collapsed="false">
      <c r="A126" s="16" t="n">
        <v>46251</v>
      </c>
      <c r="B126" s="17" t="s">
        <v>42</v>
      </c>
      <c r="C126" s="17" t="s">
        <v>17</v>
      </c>
      <c r="D126" s="17" t="s">
        <v>32</v>
      </c>
      <c r="E126" s="17" t="n">
        <v>8</v>
      </c>
      <c r="F126" s="18" t="n">
        <v>22000</v>
      </c>
      <c r="G126" s="19" t="n">
        <f aca="false">E126*F126</f>
        <v>176000</v>
      </c>
      <c r="H126" s="20" t="n">
        <f aca="false">MONTH(A126)</f>
        <v>8</v>
      </c>
    </row>
    <row r="127" customFormat="false" ht="15" hidden="false" customHeight="false" outlineLevel="0" collapsed="false">
      <c r="A127" s="16" t="n">
        <v>46252</v>
      </c>
      <c r="B127" s="17" t="s">
        <v>44</v>
      </c>
      <c r="C127" s="17" t="s">
        <v>15</v>
      </c>
      <c r="D127" s="17" t="s">
        <v>32</v>
      </c>
      <c r="E127" s="17" t="n">
        <v>3</v>
      </c>
      <c r="F127" s="18" t="n">
        <v>22000</v>
      </c>
      <c r="G127" s="19" t="n">
        <f aca="false">E127*F127</f>
        <v>66000</v>
      </c>
      <c r="H127" s="20" t="n">
        <f aca="false">MONTH(A127)</f>
        <v>8</v>
      </c>
    </row>
    <row r="128" customFormat="false" ht="15" hidden="false" customHeight="false" outlineLevel="0" collapsed="false">
      <c r="A128" s="16" t="n">
        <v>46252</v>
      </c>
      <c r="B128" s="17" t="s">
        <v>43</v>
      </c>
      <c r="C128" s="17" t="s">
        <v>13</v>
      </c>
      <c r="D128" s="17" t="s">
        <v>32</v>
      </c>
      <c r="E128" s="17" t="n">
        <v>7</v>
      </c>
      <c r="F128" s="18" t="n">
        <v>22000</v>
      </c>
      <c r="G128" s="19" t="n">
        <f aca="false">E128*F128</f>
        <v>154000</v>
      </c>
      <c r="H128" s="20" t="n">
        <f aca="false">MONTH(A128)</f>
        <v>8</v>
      </c>
    </row>
    <row r="129" customFormat="false" ht="15" hidden="false" customHeight="false" outlineLevel="0" collapsed="false">
      <c r="A129" s="16" t="n">
        <v>46254</v>
      </c>
      <c r="B129" s="17" t="s">
        <v>43</v>
      </c>
      <c r="C129" s="17" t="s">
        <v>19</v>
      </c>
      <c r="D129" s="17" t="s">
        <v>33</v>
      </c>
      <c r="E129" s="17" t="n">
        <v>3</v>
      </c>
      <c r="F129" s="18" t="n">
        <v>28000</v>
      </c>
      <c r="G129" s="19" t="n">
        <f aca="false">E129*F129</f>
        <v>84000</v>
      </c>
      <c r="H129" s="20" t="n">
        <f aca="false">MONTH(A129)</f>
        <v>8</v>
      </c>
    </row>
    <row r="130" customFormat="false" ht="15" hidden="false" customHeight="false" outlineLevel="0" collapsed="false">
      <c r="A130" s="16" t="n">
        <v>46257</v>
      </c>
      <c r="B130" s="17" t="s">
        <v>44</v>
      </c>
      <c r="C130" s="17" t="s">
        <v>13</v>
      </c>
      <c r="D130" s="17" t="s">
        <v>31</v>
      </c>
      <c r="E130" s="17" t="n">
        <v>3</v>
      </c>
      <c r="F130" s="18" t="n">
        <v>85000</v>
      </c>
      <c r="G130" s="19" t="n">
        <f aca="false">E130*F130</f>
        <v>255000</v>
      </c>
      <c r="H130" s="20" t="n">
        <f aca="false">MONTH(A130)</f>
        <v>8</v>
      </c>
    </row>
    <row r="131" customFormat="false" ht="15" hidden="false" customHeight="false" outlineLevel="0" collapsed="false">
      <c r="A131" s="16" t="n">
        <v>46257</v>
      </c>
      <c r="B131" s="17" t="s">
        <v>44</v>
      </c>
      <c r="C131" s="17" t="s">
        <v>19</v>
      </c>
      <c r="D131" s="17" t="s">
        <v>34</v>
      </c>
      <c r="E131" s="17" t="n">
        <v>11</v>
      </c>
      <c r="F131" s="18" t="n">
        <v>3500</v>
      </c>
      <c r="G131" s="19" t="n">
        <f aca="false">E131*F131</f>
        <v>38500</v>
      </c>
      <c r="H131" s="20" t="n">
        <f aca="false">MONTH(A131)</f>
        <v>8</v>
      </c>
    </row>
    <row r="132" customFormat="false" ht="15" hidden="false" customHeight="false" outlineLevel="0" collapsed="false">
      <c r="A132" s="16" t="n">
        <v>46261</v>
      </c>
      <c r="B132" s="17" t="s">
        <v>45</v>
      </c>
      <c r="C132" s="17" t="s">
        <v>21</v>
      </c>
      <c r="D132" s="17" t="s">
        <v>36</v>
      </c>
      <c r="E132" s="17" t="n">
        <v>20</v>
      </c>
      <c r="F132" s="18" t="n">
        <v>6500</v>
      </c>
      <c r="G132" s="19" t="n">
        <f aca="false">E132*F132</f>
        <v>130000</v>
      </c>
      <c r="H132" s="20" t="n">
        <f aca="false">MONTH(A132)</f>
        <v>8</v>
      </c>
    </row>
    <row r="133" customFormat="false" ht="15" hidden="false" customHeight="false" outlineLevel="0" collapsed="false">
      <c r="A133" s="16" t="n">
        <v>46265</v>
      </c>
      <c r="B133" s="17" t="s">
        <v>42</v>
      </c>
      <c r="C133" s="17" t="s">
        <v>15</v>
      </c>
      <c r="D133" s="17" t="s">
        <v>36</v>
      </c>
      <c r="E133" s="17" t="n">
        <v>18</v>
      </c>
      <c r="F133" s="18" t="n">
        <v>6500</v>
      </c>
      <c r="G133" s="19" t="n">
        <f aca="false">E133*F133</f>
        <v>117000</v>
      </c>
      <c r="H133" s="20" t="n">
        <f aca="false">MONTH(A133)</f>
        <v>8</v>
      </c>
    </row>
    <row r="134" customFormat="false" ht="15" hidden="false" customHeight="false" outlineLevel="0" collapsed="false">
      <c r="A134" s="16" t="n">
        <v>46265</v>
      </c>
      <c r="B134" s="17" t="s">
        <v>42</v>
      </c>
      <c r="C134" s="17" t="s">
        <v>19</v>
      </c>
      <c r="D134" s="17" t="s">
        <v>31</v>
      </c>
      <c r="E134" s="17" t="n">
        <v>2</v>
      </c>
      <c r="F134" s="18" t="n">
        <v>85000</v>
      </c>
      <c r="G134" s="19" t="n">
        <f aca="false">E134*F134</f>
        <v>170000</v>
      </c>
      <c r="H134" s="20" t="n">
        <f aca="false">MONTH(A134)</f>
        <v>8</v>
      </c>
    </row>
    <row r="135" customFormat="false" ht="15" hidden="false" customHeight="false" outlineLevel="0" collapsed="false">
      <c r="A135" s="16" t="n">
        <v>46265</v>
      </c>
      <c r="B135" s="17" t="s">
        <v>44</v>
      </c>
      <c r="C135" s="17" t="s">
        <v>17</v>
      </c>
      <c r="D135" s="17" t="s">
        <v>33</v>
      </c>
      <c r="E135" s="17" t="n">
        <v>4</v>
      </c>
      <c r="F135" s="18" t="n">
        <v>28000</v>
      </c>
      <c r="G135" s="19" t="n">
        <f aca="false">E135*F135</f>
        <v>112000</v>
      </c>
      <c r="H135" s="20" t="n">
        <f aca="false">MONTH(A135)</f>
        <v>8</v>
      </c>
    </row>
    <row r="136" customFormat="false" ht="15" hidden="false" customHeight="false" outlineLevel="0" collapsed="false">
      <c r="A136" s="16" t="n">
        <v>46271</v>
      </c>
      <c r="B136" s="17" t="s">
        <v>45</v>
      </c>
      <c r="C136" s="17" t="s">
        <v>15</v>
      </c>
      <c r="D136" s="17" t="s">
        <v>31</v>
      </c>
      <c r="E136" s="17" t="n">
        <v>8</v>
      </c>
      <c r="F136" s="18" t="n">
        <v>85000</v>
      </c>
      <c r="G136" s="19" t="n">
        <f aca="false">E136*F136</f>
        <v>680000</v>
      </c>
      <c r="H136" s="20" t="n">
        <f aca="false">MONTH(A136)</f>
        <v>9</v>
      </c>
    </row>
    <row r="137" customFormat="false" ht="15" hidden="false" customHeight="false" outlineLevel="0" collapsed="false">
      <c r="A137" s="16" t="n">
        <v>46279</v>
      </c>
      <c r="B137" s="17" t="s">
        <v>42</v>
      </c>
      <c r="C137" s="17" t="s">
        <v>17</v>
      </c>
      <c r="D137" s="17" t="s">
        <v>32</v>
      </c>
      <c r="E137" s="17" t="n">
        <v>7</v>
      </c>
      <c r="F137" s="18" t="n">
        <v>22000</v>
      </c>
      <c r="G137" s="19" t="n">
        <f aca="false">E137*F137</f>
        <v>154000</v>
      </c>
      <c r="H137" s="20" t="n">
        <f aca="false">MONTH(A137)</f>
        <v>9</v>
      </c>
    </row>
    <row r="138" customFormat="false" ht="15" hidden="false" customHeight="false" outlineLevel="0" collapsed="false">
      <c r="A138" s="16" t="n">
        <v>46279</v>
      </c>
      <c r="B138" s="17" t="s">
        <v>45</v>
      </c>
      <c r="C138" s="17" t="s">
        <v>21</v>
      </c>
      <c r="D138" s="17" t="s">
        <v>32</v>
      </c>
      <c r="E138" s="17" t="n">
        <v>1</v>
      </c>
      <c r="F138" s="18" t="n">
        <v>22000</v>
      </c>
      <c r="G138" s="19" t="n">
        <f aca="false">E138*F138</f>
        <v>22000</v>
      </c>
      <c r="H138" s="20" t="n">
        <f aca="false">MONTH(A138)</f>
        <v>9</v>
      </c>
    </row>
    <row r="139" customFormat="false" ht="15" hidden="false" customHeight="false" outlineLevel="0" collapsed="false">
      <c r="A139" s="16" t="n">
        <v>46280</v>
      </c>
      <c r="B139" s="17" t="s">
        <v>45</v>
      </c>
      <c r="C139" s="17" t="s">
        <v>15</v>
      </c>
      <c r="D139" s="17" t="s">
        <v>36</v>
      </c>
      <c r="E139" s="17" t="n">
        <v>17</v>
      </c>
      <c r="F139" s="18" t="n">
        <v>6500</v>
      </c>
      <c r="G139" s="19" t="n">
        <f aca="false">E139*F139</f>
        <v>110500</v>
      </c>
      <c r="H139" s="20" t="n">
        <f aca="false">MONTH(A139)</f>
        <v>9</v>
      </c>
    </row>
    <row r="140" customFormat="false" ht="15" hidden="false" customHeight="false" outlineLevel="0" collapsed="false">
      <c r="A140" s="16" t="n">
        <v>46281</v>
      </c>
      <c r="B140" s="17" t="s">
        <v>45</v>
      </c>
      <c r="C140" s="17" t="s">
        <v>21</v>
      </c>
      <c r="D140" s="17" t="s">
        <v>35</v>
      </c>
      <c r="E140" s="17" t="n">
        <v>16</v>
      </c>
      <c r="F140" s="18" t="n">
        <v>1800</v>
      </c>
      <c r="G140" s="19" t="n">
        <f aca="false">E140*F140</f>
        <v>28800</v>
      </c>
      <c r="H140" s="20" t="n">
        <f aca="false">MONTH(A140)</f>
        <v>9</v>
      </c>
    </row>
    <row r="141" customFormat="false" ht="15" hidden="false" customHeight="false" outlineLevel="0" collapsed="false">
      <c r="A141" s="16" t="n">
        <v>46282</v>
      </c>
      <c r="B141" s="17" t="s">
        <v>42</v>
      </c>
      <c r="C141" s="17" t="s">
        <v>19</v>
      </c>
      <c r="D141" s="17" t="s">
        <v>34</v>
      </c>
      <c r="E141" s="17" t="n">
        <v>7</v>
      </c>
      <c r="F141" s="18" t="n">
        <v>3500</v>
      </c>
      <c r="G141" s="19" t="n">
        <f aca="false">E141*F141</f>
        <v>24500</v>
      </c>
      <c r="H141" s="20" t="n">
        <f aca="false">MONTH(A141)</f>
        <v>9</v>
      </c>
    </row>
    <row r="142" customFormat="false" ht="15" hidden="false" customHeight="false" outlineLevel="0" collapsed="false">
      <c r="A142" s="16" t="n">
        <v>46282</v>
      </c>
      <c r="B142" s="17" t="s">
        <v>42</v>
      </c>
      <c r="C142" s="17" t="s">
        <v>21</v>
      </c>
      <c r="D142" s="17" t="s">
        <v>36</v>
      </c>
      <c r="E142" s="17" t="n">
        <v>8</v>
      </c>
      <c r="F142" s="18" t="n">
        <v>6500</v>
      </c>
      <c r="G142" s="19" t="n">
        <f aca="false">E142*F142</f>
        <v>52000</v>
      </c>
      <c r="H142" s="20" t="n">
        <f aca="false">MONTH(A142)</f>
        <v>9</v>
      </c>
    </row>
    <row r="143" customFormat="false" ht="15" hidden="false" customHeight="false" outlineLevel="0" collapsed="false">
      <c r="A143" s="16" t="n">
        <v>46282</v>
      </c>
      <c r="B143" s="17" t="s">
        <v>42</v>
      </c>
      <c r="C143" s="17" t="s">
        <v>21</v>
      </c>
      <c r="D143" s="17" t="s">
        <v>32</v>
      </c>
      <c r="E143" s="17" t="n">
        <v>4</v>
      </c>
      <c r="F143" s="18" t="n">
        <v>22000</v>
      </c>
      <c r="G143" s="19" t="n">
        <f aca="false">E143*F143</f>
        <v>88000</v>
      </c>
      <c r="H143" s="20" t="n">
        <f aca="false">MONTH(A143)</f>
        <v>9</v>
      </c>
    </row>
    <row r="144" customFormat="false" ht="15" hidden="false" customHeight="false" outlineLevel="0" collapsed="false">
      <c r="A144" s="16" t="n">
        <v>46282</v>
      </c>
      <c r="B144" s="17" t="s">
        <v>45</v>
      </c>
      <c r="C144" s="17" t="s">
        <v>15</v>
      </c>
      <c r="D144" s="17" t="s">
        <v>33</v>
      </c>
      <c r="E144" s="17" t="n">
        <v>6</v>
      </c>
      <c r="F144" s="18" t="n">
        <v>28000</v>
      </c>
      <c r="G144" s="19" t="n">
        <f aca="false">E144*F144</f>
        <v>168000</v>
      </c>
      <c r="H144" s="20" t="n">
        <f aca="false">MONTH(A144)</f>
        <v>9</v>
      </c>
    </row>
    <row r="145" customFormat="false" ht="15" hidden="false" customHeight="false" outlineLevel="0" collapsed="false">
      <c r="A145" s="16" t="n">
        <v>46285</v>
      </c>
      <c r="B145" s="17" t="s">
        <v>42</v>
      </c>
      <c r="C145" s="17" t="s">
        <v>19</v>
      </c>
      <c r="D145" s="17" t="s">
        <v>32</v>
      </c>
      <c r="E145" s="17" t="n">
        <v>8</v>
      </c>
      <c r="F145" s="18" t="n">
        <v>22000</v>
      </c>
      <c r="G145" s="19" t="n">
        <f aca="false">E145*F145</f>
        <v>176000</v>
      </c>
      <c r="H145" s="20" t="n">
        <f aca="false">MONTH(A145)</f>
        <v>9</v>
      </c>
    </row>
    <row r="146" customFormat="false" ht="15" hidden="false" customHeight="false" outlineLevel="0" collapsed="false">
      <c r="A146" s="16" t="n">
        <v>46286</v>
      </c>
      <c r="B146" s="17" t="s">
        <v>43</v>
      </c>
      <c r="C146" s="17" t="s">
        <v>23</v>
      </c>
      <c r="D146" s="17" t="s">
        <v>35</v>
      </c>
      <c r="E146" s="17" t="n">
        <v>11</v>
      </c>
      <c r="F146" s="18" t="n">
        <v>1800</v>
      </c>
      <c r="G146" s="19" t="n">
        <f aca="false">E146*F146</f>
        <v>19800</v>
      </c>
      <c r="H146" s="20" t="n">
        <f aca="false">MONTH(A146)</f>
        <v>9</v>
      </c>
    </row>
    <row r="147" customFormat="false" ht="15" hidden="false" customHeight="false" outlineLevel="0" collapsed="false">
      <c r="A147" s="16" t="n">
        <v>46287</v>
      </c>
      <c r="B147" s="17" t="s">
        <v>42</v>
      </c>
      <c r="C147" s="17" t="s">
        <v>21</v>
      </c>
      <c r="D147" s="17" t="s">
        <v>35</v>
      </c>
      <c r="E147" s="17" t="n">
        <v>3</v>
      </c>
      <c r="F147" s="18" t="n">
        <v>1800</v>
      </c>
      <c r="G147" s="19" t="n">
        <f aca="false">E147*F147</f>
        <v>5400</v>
      </c>
      <c r="H147" s="20" t="n">
        <f aca="false">MONTH(A147)</f>
        <v>9</v>
      </c>
    </row>
    <row r="148" customFormat="false" ht="15" hidden="false" customHeight="false" outlineLevel="0" collapsed="false">
      <c r="A148" s="16" t="n">
        <v>46287</v>
      </c>
      <c r="B148" s="17" t="s">
        <v>43</v>
      </c>
      <c r="C148" s="17" t="s">
        <v>19</v>
      </c>
      <c r="D148" s="17" t="s">
        <v>33</v>
      </c>
      <c r="E148" s="17" t="n">
        <v>8</v>
      </c>
      <c r="F148" s="18" t="n">
        <v>28000</v>
      </c>
      <c r="G148" s="19" t="n">
        <f aca="false">E148*F148</f>
        <v>224000</v>
      </c>
      <c r="H148" s="20" t="n">
        <f aca="false">MONTH(A148)</f>
        <v>9</v>
      </c>
    </row>
    <row r="149" customFormat="false" ht="15" hidden="false" customHeight="false" outlineLevel="0" collapsed="false">
      <c r="A149" s="16" t="n">
        <v>46291</v>
      </c>
      <c r="B149" s="17" t="s">
        <v>44</v>
      </c>
      <c r="C149" s="17" t="s">
        <v>23</v>
      </c>
      <c r="D149" s="17" t="s">
        <v>35</v>
      </c>
      <c r="E149" s="17" t="n">
        <v>19</v>
      </c>
      <c r="F149" s="18" t="n">
        <v>1800</v>
      </c>
      <c r="G149" s="19" t="n">
        <f aca="false">E149*F149</f>
        <v>34200</v>
      </c>
      <c r="H149" s="20" t="n">
        <f aca="false">MONTH(A149)</f>
        <v>9</v>
      </c>
    </row>
    <row r="150" customFormat="false" ht="15" hidden="false" customHeight="false" outlineLevel="0" collapsed="false">
      <c r="A150" s="16" t="n">
        <v>46291</v>
      </c>
      <c r="B150" s="17" t="s">
        <v>43</v>
      </c>
      <c r="C150" s="17" t="s">
        <v>17</v>
      </c>
      <c r="D150" s="17" t="s">
        <v>32</v>
      </c>
      <c r="E150" s="17" t="n">
        <v>6</v>
      </c>
      <c r="F150" s="18" t="n">
        <v>22000</v>
      </c>
      <c r="G150" s="19" t="n">
        <f aca="false">E150*F150</f>
        <v>132000</v>
      </c>
      <c r="H150" s="20" t="n">
        <f aca="false">MONTH(A150)</f>
        <v>9</v>
      </c>
    </row>
    <row r="151" customFormat="false" ht="15" hidden="false" customHeight="false" outlineLevel="0" collapsed="false">
      <c r="A151" s="16" t="n">
        <v>46292</v>
      </c>
      <c r="B151" s="17" t="s">
        <v>45</v>
      </c>
      <c r="C151" s="17" t="s">
        <v>19</v>
      </c>
      <c r="D151" s="17" t="s">
        <v>36</v>
      </c>
      <c r="E151" s="17" t="n">
        <v>7</v>
      </c>
      <c r="F151" s="18" t="n">
        <v>6500</v>
      </c>
      <c r="G151" s="19" t="n">
        <f aca="false">E151*F151</f>
        <v>45500</v>
      </c>
      <c r="H151" s="20" t="n">
        <f aca="false">MONTH(A151)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2026-10-05T01:05:55Z</dcterms:created>
  <dc:creator>openpyxl</dc:creator>
  <dc:description/>
  <dc:language>en-US</dc:language>
  <cp:lastModifiedBy/>
  <dcterms:modified xsi:type="dcterms:W3CDTF">2026-10-05T01:06:04Z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