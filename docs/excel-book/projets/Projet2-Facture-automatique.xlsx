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ure" sheetId="1" state="visible" r:id="rId3"/>
    <sheet name="Produits" sheetId="2" state="visible" r:id="rId4"/>
  </sheets>
  <definedNames>
    <definedName function="false" hidden="false" localSheetId="0" name="_xlnm.Print_Area" vbProcedure="false">Facture!$A$1:$F$27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<sst xmlns="http://schemas.openxmlformats.org/spreadsheetml/2006/main" count="68" uniqueCount="53">
  <si>
    <t xml:space="preserve">FACTURE</t>
  </si>
  <si>
    <t xml:space="preserve">Nourix Academy · Projet 2 · Choisissez un code produit dans la liste et la quantité : le reste est automatique.</t>
  </si>
  <si>
    <t xml:space="preserve">Entreprise :</t>
  </si>
  <si>
    <t xml:space="preserve">Librairie Exemple</t>
  </si>
  <si>
    <t xml:space="preserve">Adresse :</t>
  </si>
  <si>
    <t xml:space="preserve">12, rue Exemple, Ville</t>
  </si>
  <si>
    <t xml:space="preserve">Client :</t>
  </si>
  <si>
    <t xml:space="preserve">Client Exemple</t>
  </si>
  <si>
    <t xml:space="preserve">N° facture :</t>
  </si>
  <si>
    <t xml:space="preserve">F-2026-0042</t>
  </si>
  <si>
    <t xml:space="preserve">Date :</t>
  </si>
  <si>
    <t xml:space="preserve">Code</t>
  </si>
  <si>
    <t xml:space="preserve">Désignation</t>
  </si>
  <si>
    <t xml:space="preserve">Prix unitaire HT</t>
  </si>
  <si>
    <t xml:space="preserve">Quantité</t>
  </si>
  <si>
    <t xml:space="preserve">Total HT</t>
  </si>
  <si>
    <t xml:space="preserve">Unité</t>
  </si>
  <si>
    <t xml:space="preserve">P001</t>
  </si>
  <si>
    <t xml:space="preserve">P002</t>
  </si>
  <si>
    <t xml:space="preserve">P004</t>
  </si>
  <si>
    <t xml:space="preserve">P006</t>
  </si>
  <si>
    <t xml:space="preserve">Sous-total HT</t>
  </si>
  <si>
    <t xml:space="preserve">Remise</t>
  </si>
  <si>
    <t xml:space="preserve">Montant de la remise</t>
  </si>
  <si>
    <t xml:space="preserve">Taux de TVA</t>
  </si>
  <si>
    <t xml:space="preserve">Adaptez au taux de votre pays</t>
  </si>
  <si>
    <t xml:space="preserve">TVA</t>
  </si>
  <si>
    <t xml:space="preserve">TOTAL TTC</t>
  </si>
  <si>
    <t xml:space="preserve">Arrêtée la présente facture à la somme indiquée ci-dessus. Merci de votre confiance.</t>
  </si>
  <si>
    <t xml:space="preserve">Légende :</t>
  </si>
  <si>
    <t xml:space="preserve">Saisie (modifiable)</t>
  </si>
  <si>
    <t xml:space="preserve">Formule (ne pas modifier)</t>
  </si>
  <si>
    <t xml:space="preserve">Catalogue des produits</t>
  </si>
  <si>
    <t xml:space="preserve">Ajoutez vos produits ici : la facture les retrouve par leur code.</t>
  </si>
  <si>
    <t xml:space="preserve">Cahier 96 pages</t>
  </si>
  <si>
    <t xml:space="preserve">pièce</t>
  </si>
  <si>
    <t xml:space="preserve">Stylo bleu</t>
  </si>
  <si>
    <t xml:space="preserve">P003</t>
  </si>
  <si>
    <t xml:space="preserve">Classeur A4</t>
  </si>
  <si>
    <t xml:space="preserve">Ramette papier A4</t>
  </si>
  <si>
    <t xml:space="preserve">paquet</t>
  </si>
  <si>
    <t xml:space="preserve">P005</t>
  </si>
  <si>
    <t xml:space="preserve">Agenda 2027</t>
  </si>
  <si>
    <t xml:space="preserve">Calculatrice</t>
  </si>
  <si>
    <t xml:space="preserve">P007</t>
  </si>
  <si>
    <t xml:space="preserve">Trousse</t>
  </si>
  <si>
    <t xml:space="preserve">P008</t>
  </si>
  <si>
    <t xml:space="preserve">Clé USB 32 Go</t>
  </si>
  <si>
    <t xml:space="preserve">P009</t>
  </si>
  <si>
    <t xml:space="preserve">Surligneurs (x4)</t>
  </si>
  <si>
    <t xml:space="preserve">lot</t>
  </si>
  <si>
    <t xml:space="preserve">P010</t>
  </si>
  <si>
    <t xml:space="preserve">Cartable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</si>
</sst>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,##0.00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E3B24"/>
        <bgColor rgb="FF333333"/>
      </patternFill>
    </fill>
    <fill>
      <patternFill patternType="solid">
        <fgColor rgb="FFFBF3DD"/>
        <bgColor rgb="FFFFF2CC"/>
      </patternFill>
    </fill>
    <fill>
      <patternFill patternType="solid">
        <fgColor rgb="FFFFF2CC"/>
        <bgColor rgb="FFFBF3DD"/>
      </patternFill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17346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BF3D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E3B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5" t="n">
        <v>46300</v>
      </c>
    </row>
    <row r="10" customFormat="false" ht="15" hidden="false" customHeight="false" outlineLevel="0" collapsed="false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</row>
    <row r="11" customFormat="false" ht="15" hidden="false" customHeight="false" outlineLevel="0" collapsed="false">
      <c r="A11" s="7" t="s">
        <v>17</v>
      </c>
      <c r="B11" s="8" t="str">
        <f aca="false">IF(A11="","",IFERROR(VLOOKUP(A11,Produits!$A$5:$D$100,2,FALSE()),"Code inconnu"))</f>
        <v>Cahier 96 pages</v>
      </c>
      <c r="C11" s="9" t="n">
        <f aca="false">IF(A11="","",IFERROR(VLOOKUP(A11,Produits!$A$5:$D$100,3,FALSE()),0))</f>
        <v>120</v>
      </c>
      <c r="D11" s="7" t="n">
        <v>10</v>
      </c>
      <c r="E11" s="9" t="n">
        <f aca="false">IF(OR(A11="",D11=""),"",C11*D11)</f>
        <v>1200</v>
      </c>
      <c r="F11" s="10" t="str">
        <f aca="false">IF(A11="","",IFERROR(VLOOKUP(A11,Produits!$A$5:$D$100,4,FALSE()),""))</f>
        <v>pièce</v>
      </c>
    </row>
    <row r="12" customFormat="false" ht="15" hidden="false" customHeight="false" outlineLevel="0" collapsed="false">
      <c r="A12" s="7" t="s">
        <v>18</v>
      </c>
      <c r="B12" s="8" t="str">
        <f aca="false">IF(A12="","",IFERROR(VLOOKUP(A12,Produits!$A$5:$D$100,2,FALSE()),"Code inconnu"))</f>
        <v>Stylo bleu</v>
      </c>
      <c r="C12" s="9" t="n">
        <f aca="false">IF(A12="","",IFERROR(VLOOKUP(A12,Produits!$A$5:$D$100,3,FALSE()),0))</f>
        <v>30</v>
      </c>
      <c r="D12" s="7" t="n">
        <v>25</v>
      </c>
      <c r="E12" s="9" t="n">
        <f aca="false">IF(OR(A12="",D12=""),"",C12*D12)</f>
        <v>750</v>
      </c>
      <c r="F12" s="10" t="str">
        <f aca="false">IF(A12="","",IFERROR(VLOOKUP(A12,Produits!$A$5:$D$100,4,FALSE()),""))</f>
        <v>pièce</v>
      </c>
    </row>
    <row r="13" customFormat="false" ht="15" hidden="false" customHeight="false" outlineLevel="0" collapsed="false">
      <c r="A13" s="7" t="s">
        <v>19</v>
      </c>
      <c r="B13" s="8" t="str">
        <f aca="false">IF(A13="","",IFERROR(VLOOKUP(A13,Produits!$A$5:$D$100,2,FALSE()),"Code inconnu"))</f>
        <v>Ramette papier A4</v>
      </c>
      <c r="C13" s="9" t="n">
        <f aca="false">IF(A13="","",IFERROR(VLOOKUP(A13,Produits!$A$5:$D$100,3,FALSE()),0))</f>
        <v>750</v>
      </c>
      <c r="D13" s="7" t="n">
        <v>2</v>
      </c>
      <c r="E13" s="9" t="n">
        <f aca="false">IF(OR(A13="",D13=""),"",C13*D13)</f>
        <v>1500</v>
      </c>
      <c r="F13" s="10" t="str">
        <f aca="false">IF(A13="","",IFERROR(VLOOKUP(A13,Produits!$A$5:$D$100,4,FALSE()),""))</f>
        <v>paquet</v>
      </c>
    </row>
    <row r="14" customFormat="false" ht="15" hidden="false" customHeight="false" outlineLevel="0" collapsed="false">
      <c r="A14" s="7" t="s">
        <v>20</v>
      </c>
      <c r="B14" s="8" t="str">
        <f aca="false">IF(A14="","",IFERROR(VLOOKUP(A14,Produits!$A$5:$D$100,2,FALSE()),"Code inconnu"))</f>
        <v>Calculatrice</v>
      </c>
      <c r="C14" s="9" t="n">
        <f aca="false">IF(A14="","",IFERROR(VLOOKUP(A14,Produits!$A$5:$D$100,3,FALSE()),0))</f>
        <v>1200</v>
      </c>
      <c r="D14" s="7" t="n">
        <v>1</v>
      </c>
      <c r="E14" s="9" t="n">
        <f aca="false">IF(OR(A14="",D14=""),"",C14*D14)</f>
        <v>1200</v>
      </c>
      <c r="F14" s="10" t="str">
        <f aca="false">IF(A14="","",IFERROR(VLOOKUP(A14,Produits!$A$5:$D$100,4,FALSE()),""))</f>
        <v>pièce</v>
      </c>
    </row>
    <row r="15" customFormat="false" ht="15" hidden="false" customHeight="false" outlineLevel="0" collapsed="false">
      <c r="A15" s="7"/>
      <c r="B15" s="8" t="str">
        <f aca="false">IF(A15="","",IFERROR(VLOOKUP(A15,Produits!$A$5:$D$100,2,FALSE()),"Code inconnu"))</f>
        <v/>
      </c>
      <c r="C15" s="9" t="str">
        <f aca="false">IF(A15="","",IFERROR(VLOOKUP(A15,Produits!$A$5:$D$100,3,FALSE()),0))</f>
        <v/>
      </c>
      <c r="D15" s="7"/>
      <c r="E15" s="9" t="str">
        <f aca="false">IF(OR(A15="",D15=""),"",C15*D15)</f>
        <v/>
      </c>
      <c r="F15" s="10" t="str">
        <f aca="false">IF(A15="","",IFERROR(VLOOKUP(A15,Produits!$A$5:$D$100,4,FALSE()),""))</f>
        <v/>
      </c>
    </row>
    <row r="16" customFormat="false" ht="15" hidden="false" customHeight="false" outlineLevel="0" collapsed="false">
      <c r="A16" s="7"/>
      <c r="B16" s="8" t="str">
        <f aca="false">IF(A16="","",IFERROR(VLOOKUP(A16,Produits!$A$5:$D$100,2,FALSE()),"Code inconnu"))</f>
        <v/>
      </c>
      <c r="C16" s="9" t="str">
        <f aca="false">IF(A16="","",IFERROR(VLOOKUP(A16,Produits!$A$5:$D$100,3,FALSE()),0))</f>
        <v/>
      </c>
      <c r="D16" s="7"/>
      <c r="E16" s="9" t="str">
        <f aca="false">IF(OR(A16="",D16=""),"",C16*D16)</f>
        <v/>
      </c>
      <c r="F16" s="10" t="str">
        <f aca="false">IF(A16="","",IFERROR(VLOOKUP(A16,Produits!$A$5:$D$100,4,FALSE()),""))</f>
        <v/>
      </c>
    </row>
    <row r="17" customFormat="false" ht="15" hidden="false" customHeight="false" outlineLevel="0" collapsed="false">
      <c r="A17" s="7"/>
      <c r="B17" s="8" t="str">
        <f aca="false">IF(A17="","",IFERROR(VLOOKUP(A17,Produits!$A$5:$D$100,2,FALSE()),"Code inconnu"))</f>
        <v/>
      </c>
      <c r="C17" s="9" t="str">
        <f aca="false">IF(A17="","",IFERROR(VLOOKUP(A17,Produits!$A$5:$D$100,3,FALSE()),0))</f>
        <v/>
      </c>
      <c r="D17" s="7"/>
      <c r="E17" s="9" t="str">
        <f aca="false">IF(OR(A17="",D17=""),"",C17*D17)</f>
        <v/>
      </c>
      <c r="F17" s="10" t="str">
        <f aca="false">IF(A17="","",IFERROR(VLOOKUP(A17,Produits!$A$5:$D$100,4,FALSE()),""))</f>
        <v/>
      </c>
    </row>
    <row r="18" customFormat="false" ht="15" hidden="false" customHeight="false" outlineLevel="0" collapsed="false">
      <c r="A18" s="7"/>
      <c r="B18" s="8" t="str">
        <f aca="false">IF(A18="","",IFERROR(VLOOKUP(A18,Produits!$A$5:$D$100,2,FALSE()),"Code inconnu"))</f>
        <v/>
      </c>
      <c r="C18" s="9" t="str">
        <f aca="false">IF(A18="","",IFERROR(VLOOKUP(A18,Produits!$A$5:$D$100,3,FALSE()),0))</f>
        <v/>
      </c>
      <c r="D18" s="7"/>
      <c r="E18" s="9" t="str">
        <f aca="false">IF(OR(A18="",D18=""),"",C18*D18)</f>
        <v/>
      </c>
      <c r="F18" s="10" t="str">
        <f aca="false">IF(A18="","",IFERROR(VLOOKUP(A18,Produits!$A$5:$D$100,4,FALSE()),""))</f>
        <v/>
      </c>
    </row>
    <row r="20" customFormat="false" ht="15" hidden="false" customHeight="false" outlineLevel="0" collapsed="false">
      <c r="D20" s="11" t="s">
        <v>21</v>
      </c>
      <c r="E20" s="9" t="n">
        <f aca="false">SUM(E11:E18)</f>
        <v>4650</v>
      </c>
    </row>
    <row r="21" customFormat="false" ht="15" hidden="false" customHeight="false" outlineLevel="0" collapsed="false">
      <c r="D21" s="11" t="s">
        <v>22</v>
      </c>
      <c r="E21" s="12" t="n">
        <v>0.05</v>
      </c>
    </row>
    <row r="22" customFormat="false" ht="15" hidden="false" customHeight="false" outlineLevel="0" collapsed="false">
      <c r="D22" s="11" t="s">
        <v>23</v>
      </c>
      <c r="E22" s="9" t="n">
        <f aca="false">E20*E21</f>
        <v>232.5</v>
      </c>
    </row>
    <row r="23" customFormat="false" ht="15" hidden="false" customHeight="false" outlineLevel="0" collapsed="false">
      <c r="D23" s="11" t="s">
        <v>24</v>
      </c>
      <c r="E23" s="12" t="n">
        <v>0.19</v>
      </c>
      <c r="F23" s="13" t="s">
        <v>25</v>
      </c>
    </row>
    <row r="24" customFormat="false" ht="15" hidden="false" customHeight="false" outlineLevel="0" collapsed="false">
      <c r="D24" s="11" t="s">
        <v>26</v>
      </c>
      <c r="E24" s="9" t="n">
        <f aca="false">ROUND((E20-E22)*E23,2)</f>
        <v>839.33</v>
      </c>
    </row>
    <row r="25" customFormat="false" ht="15" hidden="false" customHeight="false" outlineLevel="0" collapsed="false">
      <c r="D25" s="11" t="s">
        <v>27</v>
      </c>
      <c r="E25" s="14" t="n">
        <f aca="false">E20-E22+E24</f>
        <v>5256.83</v>
      </c>
    </row>
    <row r="27" customFormat="false" ht="15" hidden="false" customHeight="false" outlineLevel="0" collapsed="false">
      <c r="A27" s="15" t="s">
        <v>28</v>
      </c>
    </row>
    <row r="29" customFormat="false" ht="15" hidden="false" customHeight="false" outlineLevel="0" collapsed="false">
      <c r="A29" s="16" t="s">
        <v>29</v>
      </c>
      <c r="B29" s="17" t="s">
        <v>30</v>
      </c>
      <c r="C29" s="18" t="s">
        <v>31</v>
      </c>
    </row>
  </sheetData>
  <mergeCells count="5">
    <mergeCell ref="A1:F1"/>
    <mergeCell ref="A2:F2"/>
    <mergeCell ref="B4:C4"/>
    <mergeCell ref="B5:C5"/>
    <mergeCell ref="B6:C6"/>
  </mergeCells>
  <dataValidations count="2">
    <dataValidation allowBlank="true" errorStyle="stop" operator="between" showDropDown="false" showErrorMessage="false" showInputMessage="false" sqref="A11:A18" type="list">
      <formula1>Produits!$A$5:$A$100</formula1>
      <formula2>0</formula2>
    </dataValidation>
    <dataValidation allowBlank="true" error="La quantité doit être un nombre entier positif." errorStyle="stop" operator="greaterThan" showDropDown="false" showErrorMessage="true" showInputMessage="false" sqref="D11:D18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0"/>
  </cols>
  <sheetData>
    <row r="1" customFormat="false" ht="30" hidden="false" customHeight="true" outlineLevel="0" collapsed="false">
      <c r="A1" s="1" t="s">
        <v>32</v>
      </c>
      <c r="B1" s="1"/>
      <c r="C1" s="1"/>
      <c r="D1" s="1"/>
    </row>
    <row r="2" customFormat="false" ht="15" hidden="false" customHeight="false" outlineLevel="0" collapsed="false">
      <c r="A2" s="2" t="s">
        <v>33</v>
      </c>
      <c r="B2" s="2"/>
      <c r="C2" s="2"/>
      <c r="D2" s="2"/>
    </row>
    <row r="4" customFormat="false" ht="15" hidden="false" customHeight="false" outlineLevel="0" collapsed="false">
      <c r="A4" s="6" t="s">
        <v>11</v>
      </c>
      <c r="B4" s="6" t="s">
        <v>12</v>
      </c>
      <c r="C4" s="6" t="s">
        <v>13</v>
      </c>
      <c r="D4" s="6" t="s">
        <v>16</v>
      </c>
    </row>
    <row r="5" customFormat="false" ht="15" hidden="false" customHeight="false" outlineLevel="0" collapsed="false">
      <c r="A5" s="4" t="s">
        <v>17</v>
      </c>
      <c r="B5" s="4" t="s">
        <v>34</v>
      </c>
      <c r="C5" s="19" t="n">
        <v>120</v>
      </c>
      <c r="D5" s="4" t="s">
        <v>35</v>
      </c>
    </row>
    <row r="6" customFormat="false" ht="15" hidden="false" customHeight="false" outlineLevel="0" collapsed="false">
      <c r="A6" s="4" t="s">
        <v>18</v>
      </c>
      <c r="B6" s="4" t="s">
        <v>36</v>
      </c>
      <c r="C6" s="19" t="n">
        <v>30</v>
      </c>
      <c r="D6" s="4" t="s">
        <v>35</v>
      </c>
    </row>
    <row r="7" customFormat="false" ht="15" hidden="false" customHeight="false" outlineLevel="0" collapsed="false">
      <c r="A7" s="4" t="s">
        <v>37</v>
      </c>
      <c r="B7" s="4" t="s">
        <v>38</v>
      </c>
      <c r="C7" s="19" t="n">
        <v>250</v>
      </c>
      <c r="D7" s="4" t="s">
        <v>35</v>
      </c>
    </row>
    <row r="8" customFormat="false" ht="15" hidden="false" customHeight="false" outlineLevel="0" collapsed="false">
      <c r="A8" s="4" t="s">
        <v>19</v>
      </c>
      <c r="B8" s="4" t="s">
        <v>39</v>
      </c>
      <c r="C8" s="19" t="n">
        <v>750</v>
      </c>
      <c r="D8" s="4" t="s">
        <v>40</v>
      </c>
    </row>
    <row r="9" customFormat="false" ht="15" hidden="false" customHeight="false" outlineLevel="0" collapsed="false">
      <c r="A9" s="4" t="s">
        <v>41</v>
      </c>
      <c r="B9" s="4" t="s">
        <v>42</v>
      </c>
      <c r="C9" s="19" t="n">
        <v>400</v>
      </c>
      <c r="D9" s="4" t="s">
        <v>35</v>
      </c>
    </row>
    <row r="10" customFormat="false" ht="15" hidden="false" customHeight="false" outlineLevel="0" collapsed="false">
      <c r="A10" s="4" t="s">
        <v>20</v>
      </c>
      <c r="B10" s="4" t="s">
        <v>43</v>
      </c>
      <c r="C10" s="19" t="n">
        <v>1200</v>
      </c>
      <c r="D10" s="4" t="s">
        <v>35</v>
      </c>
    </row>
    <row r="11" customFormat="false" ht="15" hidden="false" customHeight="false" outlineLevel="0" collapsed="false">
      <c r="A11" s="4" t="s">
        <v>44</v>
      </c>
      <c r="B11" s="4" t="s">
        <v>45</v>
      </c>
      <c r="C11" s="19" t="n">
        <v>350</v>
      </c>
      <c r="D11" s="4" t="s">
        <v>35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19" t="n">
        <v>900</v>
      </c>
      <c r="D12" s="4" t="s">
        <v>35</v>
      </c>
    </row>
    <row r="13" customFormat="false" ht="15" hidden="false" customHeight="false" outlineLevel="0" collapsed="false">
      <c r="A13" s="4" t="s">
        <v>48</v>
      </c>
      <c r="B13" s="4" t="s">
        <v>49</v>
      </c>
      <c r="C13" s="19" t="n">
        <v>280</v>
      </c>
      <c r="D13" s="4" t="s">
        <v>50</v>
      </c>
    </row>
    <row r="14" customFormat="false" ht="15" hidden="false" customHeight="false" outlineLevel="0" collapsed="false">
      <c r="A14" s="4" t="s">
        <v>51</v>
      </c>
      <c r="B14" s="4" t="s">
        <v>52</v>
      </c>
      <c r="C14" s="19" t="n">
        <v>2500</v>
      </c>
      <c r="D14" s="4" t="s">
        <v>35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2026-10-05T01:05:55Z</dcterms:created>
  <dc:creator>openpyxl</dc:creator>
  <dc:description/>
  <dc:language>en-US</dc:language>
  <cp:lastModifiedBy/>
  <dcterms:modified xsi:type="dcterms:W3CDTF">2026-10-05T01:05:55Z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