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<sst xmlns="http://schemas.openxmlformats.org/spreadsheetml/2006/main" count="187" uniqueCount="164">
  <si>
    <t xml:space="preserve">N°</t>
  </si>
  <si>
    <t xml:space="preserve">Chapitre</t>
  </si>
  <si>
    <t xml:space="preserve">Formule (FR, telle qu’imprimée)</t>
  </si>
  <si>
    <t xml:space="preserve">Formule testée (EN)</t>
  </si>
  <si>
    <t xml:space="preserve">Résultat attendu</t>
  </si>
  <si>
    <t xml:space="preserve">Résultat obtenu</t>
  </si>
  <si>
    <t xml:space="preserve">Vérification</t>
  </si>
  <si>
    <t xml:space="preserve">=(2+3)*4</t>
  </si>
  <si>
    <t xml:space="preserve">(2+3)*4</t>
  </si>
  <si>
    <t xml:space="preserve">=2+3*4</t>
  </si>
  <si>
    <t xml:space="preserve">2+3*4</t>
  </si>
  <si>
    <t xml:space="preserve">=A2&amp;" "&amp;B2</t>
  </si>
  <si>
    <t xml:space="preserve">Data!R6&amp;" "&amp;Data!R7</t>
  </si>
  <si>
    <t xml:space="preserve">Sami Exemple</t>
  </si>
  <si>
    <t xml:space="preserve">=SOMME(C5:C10)</t>
  </si>
  <si>
    <t xml:space="preserve">SUM(Data!K2:K7)</t>
  </si>
  <si>
    <t xml:space="preserve">=MOYENNE(D5:D10)</t>
  </si>
  <si>
    <t xml:space="preserve">ROUND(AVERAGE(Data!L2:L7),2)</t>
  </si>
  <si>
    <t xml:space="preserve">=MAX(D5:D10)</t>
  </si>
  <si>
    <t xml:space="preserve">MAX(Data!L2:L7)</t>
  </si>
  <si>
    <t xml:space="preserve">=NB(…)</t>
  </si>
  <si>
    <t xml:space="preserve">COUNT(Data!I2:L7)</t>
  </si>
  <si>
    <t xml:space="preserve">=NBVAL(…)</t>
  </si>
  <si>
    <t xml:space="preserve">COUNTA(Data!I2:I7)</t>
  </si>
  <si>
    <t xml:space="preserve">=ARRONDI(B2;2)</t>
  </si>
  <si>
    <t xml:space="preserve">ROUND(2.456,2)</t>
  </si>
  <si>
    <t xml:space="preserve">=SI(B2&gt;=10;"Admis";"Ajourné")</t>
  </si>
  <si>
    <t xml:space="preserve">IF(Data!N2&gt;=10,"Admis","Ajourné")</t>
  </si>
  <si>
    <t xml:space="preserve">Admis</t>
  </si>
  <si>
    <t xml:space="preserve">=SI(B3&gt;=10;"Admis";"Ajourné")</t>
  </si>
  <si>
    <t xml:space="preserve">IF(Data!N3&gt;=10,"Admis","Ajourné")</t>
  </si>
  <si>
    <t xml:space="preserve">Ajourné</t>
  </si>
  <si>
    <t xml:space="preserve">=SI(ET(B2&gt;=10;C2&gt;=10);"Validé";"Non validé")</t>
  </si>
  <si>
    <t xml:space="preserve">IF(AND(Data!N2&gt;=10,Data!N4&gt;=10),"Validé","Non validé")</t>
  </si>
  <si>
    <t xml:space="preserve">Validé</t>
  </si>
  <si>
    <t xml:space="preserve">=SI(OU(K5="Rupture";K5="À commander");"Commander";"")</t>
  </si>
  <si>
    <t xml:space="preserve">IF(OR("À commander"="Rupture","À commander"="À commander"),"Commander","")</t>
  </si>
  <si>
    <t xml:space="preserve">Commander</t>
  </si>
  <si>
    <t xml:space="preserve">SI imbriqués (H7 = 12,75)</t>
  </si>
  <si>
    <t xml:space="preserve">IF(Data!N4&gt;=16,"Très bien",IF(Data!N4&gt;=14,"Bien",IF(Data!N4&gt;=12,"Assez bien",IF(Data!N4&gt;=10,"Passable",""))))</t>
  </si>
  <si>
    <t xml:space="preserve">Assez bien</t>
  </si>
  <si>
    <t xml:space="preserve">=SI.CONDITIONS(…) (H7 = 14,1)</t>
  </si>
  <si>
    <t xml:space="preserve">_xlfn.IFS(Data!N6&gt;=16,"Très bien",Data!N6&gt;=14,"Bien",Data!N6&gt;=12,"Assez bien",Data!N6&gt;=10,"Passable",TRUE,"")</t>
  </si>
  <si>
    <t xml:space="preserve">Bien</t>
  </si>
  <si>
    <t xml:space="preserve">=NB.SI(B5:B10;"Commercial")</t>
  </si>
  <si>
    <t xml:space="preserve">COUNTIF(Data!J2:J7,"Commercial")</t>
  </si>
  <si>
    <t xml:space="preserve">=SOMME.SI(B5:B10;"Marketing";C5:C10)</t>
  </si>
  <si>
    <t xml:space="preserve">SUMIF(Data!J2:J7,"Marketing",Data!K2:K7)</t>
  </si>
  <si>
    <t xml:space="preserve">=SOMME.SI.ENS(…;"Commercial";…;"&gt;100000")</t>
  </si>
  <si>
    <t xml:space="preserve">SUMIFS(Data!K2:K7,Data!J2:J7,"Commercial",Data!L2:L7,"&gt;100000")</t>
  </si>
  <si>
    <t xml:space="preserve">=NB.SI.ENS(…;"Commercial";…;"&gt;100000")</t>
  </si>
  <si>
    <t xml:space="preserve">COUNTIFS(Data!J2:J7,"Commercial",Data!L2:L7,"&gt;100000")</t>
  </si>
  <si>
    <t xml:space="preserve">=MOYENNE.SI(…;"Marketing";…)</t>
  </si>
  <si>
    <t xml:space="preserve">AVERAGEIF(Data!J2:J7,"Marketing",Data!K2:K7)</t>
  </si>
  <si>
    <t xml:space="preserve">=SIERREUR(B2/C2;0)</t>
  </si>
  <si>
    <t xml:space="preserve">IFERROR(1/0,0)</t>
  </si>
  <si>
    <t xml:space="preserve">SOMME.SI.ENS avec "*" (Toutes)</t>
  </si>
  <si>
    <t xml:space="preserve">SUMIFS(Data!K2:K7,Data!J2:J7,"*")</t>
  </si>
  <si>
    <t xml:space="preserve">=RECHERCHEV(B13;$A$5:$D$10;2;FAUX)</t>
  </si>
  <si>
    <t xml:space="preserve">VLOOKUP("P004",Data!D2:G7,2,FALSE)</t>
  </si>
  <si>
    <t xml:space="preserve">Ramette A4</t>
  </si>
  <si>
    <t xml:space="preserve">=RECHERCHEV(…;3;FAUX)</t>
  </si>
  <si>
    <t xml:space="preserve">VLOOKUP("P004",Data!D2:G7,3,FALSE)</t>
  </si>
  <si>
    <t xml:space="preserve">=EQUIV("C";A1:A3;0)</t>
  </si>
  <si>
    <t xml:space="preserve">MATCH("C",Data!A1:A3,0)</t>
  </si>
  <si>
    <t xml:space="preserve">=INDEX(B5:B10;4)</t>
  </si>
  <si>
    <t xml:space="preserve">INDEX(Data!E2:E7,4)</t>
  </si>
  <si>
    <t xml:space="preserve">=INDEX(B5:B10;EQUIV(B13;A5:A10;0)) (P006)</t>
  </si>
  <si>
    <t xml:space="preserve">INDEX(Data!E2:E7,MATCH("P006",Data!D2:D7,0))</t>
  </si>
  <si>
    <t xml:space="preserve">Calculatrice</t>
  </si>
  <si>
    <t xml:space="preserve">=INDEX(B7:B22;EQUIV(MAX(H7:H22);H7:H22;0))</t>
  </si>
  <si>
    <t xml:space="preserve">INDEX(Data!M2:M6,MATCH(MAX(Data!N2:N6),Data!N2:N6,0))</t>
  </si>
  <si>
    <t xml:space="preserve">Amine</t>
  </si>
  <si>
    <t xml:space="preserve">=RECHERCHEX(B13;A5:A10;B5:B10;"Introuvable")</t>
  </si>
  <si>
    <t xml:space="preserve">—</t>
  </si>
  <si>
    <t xml:space="preserve">Ramette A4 (MANUEL : Microsoft 365 / Excel 2021+)</t>
  </si>
  <si>
    <t xml:space="preserve">MANUEL</t>
  </si>
  <si>
    <t xml:space="preserve">=SUPPRESPACE("  sami   EXEMPLE ")</t>
  </si>
  <si>
    <t xml:space="preserve">TRIM(Data!R2)</t>
  </si>
  <si>
    <t xml:space="preserve">sami EXEMPLE</t>
  </si>
  <si>
    <t xml:space="preserve">=NOMPROPRE(SUPPRESPACE(A5))</t>
  </si>
  <si>
    <t xml:space="preserve">PROPER(TRIM(Data!R2))</t>
  </si>
  <si>
    <t xml:space="preserve">=MAJUSCULE("p004")</t>
  </si>
  <si>
    <t xml:space="preserve">UPPER("p004")</t>
  </si>
  <si>
    <t xml:space="preserve">P004</t>
  </si>
  <si>
    <t xml:space="preserve">=GAUCHE("P004-ALG";4)</t>
  </si>
  <si>
    <t xml:space="preserve">LEFT(Data!R4,4)</t>
  </si>
  <si>
    <t xml:space="preserve">=STXT("F-2026-0042";3;4)</t>
  </si>
  <si>
    <t xml:space="preserve">MID(Data!R5,3,4)</t>
  </si>
  <si>
    <t xml:space="preserve">2026</t>
  </si>
  <si>
    <t xml:space="preserve">=NBCAR("Excel")</t>
  </si>
  <si>
    <t xml:space="preserve">LEN("Excel")</t>
  </si>
  <si>
    <t xml:space="preserve">=TROUVE(" ";"Sami Exemple")</t>
  </si>
  <si>
    <t xml:space="preserve">FIND(" ",Data!R3)</t>
  </si>
  <si>
    <t xml:space="preserve">=GAUCHE(B5;TROUVE(" ";B5)-1)</t>
  </si>
  <si>
    <t xml:space="preserve">LEFT(Data!R3,FIND(" ",Data!R3)-1)</t>
  </si>
  <si>
    <t xml:space="preserve">Sami</t>
  </si>
  <si>
    <t xml:space="preserve">=MAJUSCULE(GAUCHE(C5;3))</t>
  </si>
  <si>
    <t xml:space="preserve">UPPER(LEFT(Data!R6,3))</t>
  </si>
  <si>
    <t xml:space="preserve">SAM</t>
  </si>
  <si>
    <t xml:space="preserve">=DATEDIF(A2;date;"y")</t>
  </si>
  <si>
    <t xml:space="preserve">DATEDIF(Data!P2,Data!P5,"y")</t>
  </si>
  <si>
    <t xml:space="preserve">=NB.JOURS.OUVRES(début;fin) (octobre 2026)</t>
  </si>
  <si>
    <t xml:space="preserve">NETWORKDAYS(Data!P3,Data!P4)</t>
  </si>
  <si>
    <t xml:space="preserve">=NB.JOURS.OUVRES.INTL(début;fin;7)</t>
  </si>
  <si>
    <t xml:space="preserve">NETWORKDAYS.INTL(Data!P3,Data!P4,7)</t>
  </si>
  <si>
    <t xml:space="preserve">=FIN.MOIS(A2;0) ← 31/10/2026</t>
  </si>
  <si>
    <t xml:space="preserve">EOMONTH(Data!P5,0)=DATE(2026,10,31)</t>
  </si>
  <si>
    <t xml:space="preserve">=DATE(2026;10;5)</t>
  </si>
  <si>
    <t xml:space="preserve">DATE(2026,10,5)=Data!P5</t>
  </si>
  <si>
    <t xml:space="preserve">=ANNEE(A2) / MOIS / JOUR</t>
  </si>
  <si>
    <t xml:space="preserve">YEAR(Data!P5)*10000+MONTH(Data!P5)*100+DAY(Data!P5)</t>
  </si>
  <si>
    <t xml:space="preserve">=TEXTE(A2;"jjjj")</t>
  </si>
  <si>
    <t xml:space="preserve">lundi (MANUEL : codes français jj / aaaa)</t>
  </si>
  <si>
    <t xml:space="preserve">=TEXTE(A2;"mmmm aaaa")</t>
  </si>
  <si>
    <t xml:space="preserve">octobre 2026 (MANUEL)</t>
  </si>
  <si>
    <t xml:space="preserve">=SOMME(Ventes[Montant])</t>
  </si>
  <si>
    <t xml:space="preserve">MANUEL : créer le tableau « Ventes » (Ctrl+T) dans Projet5, résultat 20 744 300</t>
  </si>
  <si>
    <t xml:space="preserve">=ARRONDI(SOMMEPROD(C7:G7;$C$4:$G$4)/SOMME($C$4:$G$4);2)</t>
  </si>
  <si>
    <t xml:space="preserve">ROUND(SUMPRODUCT(Data!T2:X2,Data!T3:X3)/SUM(Data!T3:X3),2)</t>
  </si>
  <si>
    <t xml:space="preserve">=RANG(H7;$H$7:$H$22;0)</t>
  </si>
  <si>
    <t xml:space="preserve">RANK(Data!N2,Data!N2:N6,0)</t>
  </si>
  <si>
    <t xml:space="preserve">Résumé :</t>
  </si>
  <si>
    <t xml:space="preserve">A</t>
  </si>
  <si>
    <t xml:space="preserve">Code</t>
  </si>
  <si>
    <t xml:space="preserve">Produit</t>
  </si>
  <si>
    <t xml:space="preserve">Prix</t>
  </si>
  <si>
    <t xml:space="preserve">Stock</t>
  </si>
  <si>
    <t xml:space="preserve">Employé</t>
  </si>
  <si>
    <t xml:space="preserve">Service</t>
  </si>
  <si>
    <t xml:space="preserve">T1</t>
  </si>
  <si>
    <t xml:space="preserve">T2</t>
  </si>
  <si>
    <t xml:space="preserve">Élève</t>
  </si>
  <si>
    <t xml:space="preserve">Moyenne</t>
  </si>
  <si>
    <t xml:space="preserve">Dates</t>
  </si>
  <si>
    <t xml:space="preserve">Textes</t>
  </si>
  <si>
    <t xml:space="preserve">Notes / coefficients</t>
  </si>
  <si>
    <t xml:space="preserve">B</t>
  </si>
  <si>
    <t xml:space="preserve">P001</t>
  </si>
  <si>
    <t xml:space="preserve">Cahier</t>
  </si>
  <si>
    <t xml:space="preserve">Ali</t>
  </si>
  <si>
    <t xml:space="preserve">Commercial</t>
  </si>
  <si>
    <t xml:space="preserve">  sami   EXEMPLE </t>
  </si>
  <si>
    <t xml:space="preserve">C</t>
  </si>
  <si>
    <t xml:space="preserve">P002</t>
  </si>
  <si>
    <t xml:space="preserve">Stylo</t>
  </si>
  <si>
    <t xml:space="preserve">Fatima</t>
  </si>
  <si>
    <t xml:space="preserve">Sara</t>
  </si>
  <si>
    <t xml:space="preserve">P003</t>
  </si>
  <si>
    <t xml:space="preserve">Classeur</t>
  </si>
  <si>
    <t xml:space="preserve">Hamza</t>
  </si>
  <si>
    <t xml:space="preserve">Marketing</t>
  </si>
  <si>
    <t xml:space="preserve">Yacine</t>
  </si>
  <si>
    <t xml:space="preserve">P004-ALG</t>
  </si>
  <si>
    <t xml:space="preserve">Salma</t>
  </si>
  <si>
    <t xml:space="preserve">Lina</t>
  </si>
  <si>
    <t xml:space="preserve">F-2026-0042</t>
  </si>
  <si>
    <t xml:space="preserve">P005</t>
  </si>
  <si>
    <t xml:space="preserve">Agenda</t>
  </si>
  <si>
    <t xml:space="preserve">Youssef</t>
  </si>
  <si>
    <t xml:space="preserve">Omar</t>
  </si>
  <si>
    <t xml:space="preserve">P006</t>
  </si>
  <si>
    <t xml:space="preserve">Asma</t>
  </si>
  <si>
    <t xml:space="preserve">Exemple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</si>
</sst>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5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n">
        <v>5</v>
      </c>
      <c r="C2" s="2" t="s">
        <v>7</v>
      </c>
      <c r="D2" s="2" t="s">
        <v>8</v>
      </c>
      <c r="E2" s="2" t="n">
        <v>20</v>
      </c>
      <c r="F2" s="2" t="n">
        <f aca="false">(2+3)*4</f>
        <v>20</v>
      </c>
      <c r="G2" s="2" t="str">
        <f aca="false">IF(F2=E2,"OK","À vérifier")</f>
        <v>OK</v>
      </c>
    </row>
    <row r="3" customFormat="false" ht="15" hidden="false" customHeight="false" outlineLevel="0" collapsed="false">
      <c r="A3" s="2" t="n">
        <v>2</v>
      </c>
      <c r="B3" s="2" t="n">
        <v>5</v>
      </c>
      <c r="C3" s="2" t="s">
        <v>9</v>
      </c>
      <c r="D3" s="2" t="s">
        <v>10</v>
      </c>
      <c r="E3" s="2" t="n">
        <v>14</v>
      </c>
      <c r="F3" s="2" t="n">
        <f aca="false">2+3*4</f>
        <v>14</v>
      </c>
      <c r="G3" s="2" t="str">
        <f aca="false">IF(F3=E3,"OK","À vérifier")</f>
        <v>OK</v>
      </c>
    </row>
    <row r="4" customFormat="false" ht="15" hidden="false" customHeight="false" outlineLevel="0" collapsed="false">
      <c r="A4" s="2" t="n">
        <v>3</v>
      </c>
      <c r="B4" s="2" t="n">
        <v>5</v>
      </c>
      <c r="C4" s="2" t="s">
        <v>11</v>
      </c>
      <c r="D4" s="2" t="s">
        <v>12</v>
      </c>
      <c r="E4" s="2" t="s">
        <v>13</v>
      </c>
      <c r="F4" s="2" t="str">
        <f aca="false">Data!R6&amp;" "&amp;Data!R7</f>
        <v>Sami Exemple</v>
      </c>
      <c r="G4" s="2" t="str">
        <f aca="false">IF(F4=E4,"OK","À vérifier")</f>
        <v>OK</v>
      </c>
    </row>
    <row r="5" customFormat="false" ht="15" hidden="false" customHeight="false" outlineLevel="0" collapsed="false">
      <c r="A5" s="2" t="n">
        <v>4</v>
      </c>
      <c r="B5" s="2" t="n">
        <v>6</v>
      </c>
      <c r="C5" s="2" t="s">
        <v>14</v>
      </c>
      <c r="D5" s="2" t="s">
        <v>15</v>
      </c>
      <c r="E5" s="2" t="n">
        <v>601000</v>
      </c>
      <c r="F5" s="2" t="n">
        <f aca="false">SUM(Data!K2:K7)</f>
        <v>601000</v>
      </c>
      <c r="G5" s="2" t="str">
        <f aca="false">IF(F5=E5,"OK","À vérifier")</f>
        <v>OK</v>
      </c>
    </row>
    <row r="6" customFormat="false" ht="15" hidden="false" customHeight="false" outlineLevel="0" collapsed="false">
      <c r="A6" s="2" t="n">
        <v>5</v>
      </c>
      <c r="B6" s="2" t="n">
        <v>6</v>
      </c>
      <c r="C6" s="2" t="s">
        <v>16</v>
      </c>
      <c r="D6" s="2" t="s">
        <v>17</v>
      </c>
      <c r="E6" s="2" t="n">
        <v>106166.67</v>
      </c>
      <c r="F6" s="2" t="n">
        <f aca="false">ROUND(AVERAGE(Data!L2:L7),2)</f>
        <v>106166.67</v>
      </c>
      <c r="G6" s="2" t="str">
        <f aca="false">IF(F6=E6,"OK","À vérifier")</f>
        <v>OK</v>
      </c>
    </row>
    <row r="7" customFormat="false" ht="15" hidden="false" customHeight="false" outlineLevel="0" collapsed="false">
      <c r="A7" s="2" t="n">
        <v>6</v>
      </c>
      <c r="B7" s="2" t="n">
        <v>6</v>
      </c>
      <c r="C7" s="2" t="s">
        <v>18</v>
      </c>
      <c r="D7" s="2" t="s">
        <v>19</v>
      </c>
      <c r="E7" s="2" t="n">
        <v>151000</v>
      </c>
      <c r="F7" s="2" t="n">
        <f aca="false">MAX(Data!L2:L7)</f>
        <v>151000</v>
      </c>
      <c r="G7" s="2" t="str">
        <f aca="false">IF(F7=E7,"OK","À vérifier")</f>
        <v>OK</v>
      </c>
    </row>
    <row r="8" customFormat="false" ht="15" hidden="false" customHeight="false" outlineLevel="0" collapsed="false">
      <c r="A8" s="2" t="n">
        <v>7</v>
      </c>
      <c r="B8" s="2" t="n">
        <v>6</v>
      </c>
      <c r="C8" s="2" t="s">
        <v>20</v>
      </c>
      <c r="D8" s="2" t="s">
        <v>21</v>
      </c>
      <c r="E8" s="2" t="n">
        <v>12</v>
      </c>
      <c r="F8" s="2" t="n">
        <f aca="false">COUNT(Data!I2:L7)</f>
        <v>12</v>
      </c>
      <c r="G8" s="2" t="str">
        <f aca="false">IF(F8=E8,"OK","À vérifier")</f>
        <v>OK</v>
      </c>
    </row>
    <row r="9" customFormat="false" ht="15" hidden="false" customHeight="false" outlineLevel="0" collapsed="false">
      <c r="A9" s="2" t="n">
        <v>8</v>
      </c>
      <c r="B9" s="2" t="n">
        <v>6</v>
      </c>
      <c r="C9" s="2" t="s">
        <v>22</v>
      </c>
      <c r="D9" s="2" t="s">
        <v>23</v>
      </c>
      <c r="E9" s="2" t="n">
        <v>6</v>
      </c>
      <c r="F9" s="2" t="n">
        <f aca="false">COUNTA(Data!I2:I7)</f>
        <v>6</v>
      </c>
      <c r="G9" s="2" t="str">
        <f aca="false">IF(F9=E9,"OK","À vérifier")</f>
        <v>OK</v>
      </c>
    </row>
    <row r="10" customFormat="false" ht="15" hidden="false" customHeight="false" outlineLevel="0" collapsed="false">
      <c r="A10" s="2" t="n">
        <v>9</v>
      </c>
      <c r="B10" s="2" t="n">
        <v>6</v>
      </c>
      <c r="C10" s="2" t="s">
        <v>24</v>
      </c>
      <c r="D10" s="2" t="s">
        <v>25</v>
      </c>
      <c r="E10" s="2" t="n">
        <v>2.46</v>
      </c>
      <c r="F10" s="2" t="n">
        <f aca="false">ROUND(2.456,2)</f>
        <v>2.46</v>
      </c>
      <c r="G10" s="2" t="str">
        <f aca="false">IF(F10=E10,"OK","À vérifier")</f>
        <v>OK</v>
      </c>
    </row>
    <row r="11" customFormat="false" ht="15" hidden="false" customHeight="false" outlineLevel="0" collapsed="false">
      <c r="A11" s="2" t="n">
        <v>10</v>
      </c>
      <c r="B11" s="2" t="n">
        <v>7</v>
      </c>
      <c r="C11" s="2" t="s">
        <v>26</v>
      </c>
      <c r="D11" s="2" t="s">
        <v>27</v>
      </c>
      <c r="E11" s="2" t="s">
        <v>28</v>
      </c>
      <c r="F11" s="2" t="str">
        <f aca="false">IF(Data!N2&gt;=10,"Admis","Ajourné")</f>
        <v>Admis</v>
      </c>
      <c r="G11" s="2" t="str">
        <f aca="false">IF(F11=E11,"OK","À vérifier")</f>
        <v>OK</v>
      </c>
    </row>
    <row r="12" customFormat="false" ht="15" hidden="false" customHeight="false" outlineLevel="0" collapsed="false">
      <c r="A12" s="2" t="n">
        <v>11</v>
      </c>
      <c r="B12" s="2" t="n">
        <v>7</v>
      </c>
      <c r="C12" s="2" t="s">
        <v>29</v>
      </c>
      <c r="D12" s="2" t="s">
        <v>30</v>
      </c>
      <c r="E12" s="2" t="s">
        <v>31</v>
      </c>
      <c r="F12" s="2" t="str">
        <f aca="false">IF(Data!N3&gt;=10,"Admis","Ajourné")</f>
        <v>Ajourné</v>
      </c>
      <c r="G12" s="2" t="str">
        <f aca="false">IF(F12=E12,"OK","À vérifier")</f>
        <v>OK</v>
      </c>
    </row>
    <row r="13" customFormat="false" ht="15" hidden="false" customHeight="false" outlineLevel="0" collapsed="false">
      <c r="A13" s="2" t="n">
        <v>12</v>
      </c>
      <c r="B13" s="2" t="n">
        <v>7</v>
      </c>
      <c r="C13" s="2" t="s">
        <v>32</v>
      </c>
      <c r="D13" s="2" t="s">
        <v>33</v>
      </c>
      <c r="E13" s="2" t="s">
        <v>34</v>
      </c>
      <c r="F13" s="2" t="str">
        <f aca="false">IF(AND(Data!N2&gt;=10,Data!N4&gt;=10),"Validé","Non validé")</f>
        <v>Validé</v>
      </c>
      <c r="G13" s="2" t="str">
        <f aca="false">IF(F13=E13,"OK","À vérifier")</f>
        <v>OK</v>
      </c>
    </row>
    <row r="14" customFormat="false" ht="15" hidden="false" customHeight="false" outlineLevel="0" collapsed="false">
      <c r="A14" s="2" t="n">
        <v>13</v>
      </c>
      <c r="B14" s="2" t="n">
        <v>7</v>
      </c>
      <c r="C14" s="2" t="s">
        <v>35</v>
      </c>
      <c r="D14" s="2" t="s">
        <v>36</v>
      </c>
      <c r="E14" s="2" t="s">
        <v>37</v>
      </c>
      <c r="F14" s="2" t="str">
        <f aca="false">IF(OR("À commander"="Rupture","À commander"="À commander"),"Commander","")</f>
        <v>Commander</v>
      </c>
      <c r="G14" s="2" t="str">
        <f aca="false">IF(F14=E14,"OK","À vérifier")</f>
        <v>OK</v>
      </c>
    </row>
    <row r="15" customFormat="false" ht="15" hidden="false" customHeight="false" outlineLevel="0" collapsed="false">
      <c r="A15" s="2" t="n">
        <v>14</v>
      </c>
      <c r="B15" s="2" t="n">
        <v>7</v>
      </c>
      <c r="C15" s="2" t="s">
        <v>38</v>
      </c>
      <c r="D15" s="2" t="s">
        <v>39</v>
      </c>
      <c r="E15" s="2" t="s">
        <v>40</v>
      </c>
      <c r="F15" s="2" t="str">
        <f aca="false">IF(Data!N4&gt;=16,"Très bien",IF(Data!N4&gt;=14,"Bien",IF(Data!N4&gt;=12,"Assez bien",IF(Data!N4&gt;=10,"Passable",""))))</f>
        <v>Assez bien</v>
      </c>
      <c r="G15" s="2" t="str">
        <f aca="false">IF(F15=E15,"OK","À vérifier")</f>
        <v>OK</v>
      </c>
    </row>
    <row r="16" customFormat="false" ht="15" hidden="false" customHeight="false" outlineLevel="0" collapsed="false">
      <c r="A16" s="2" t="n">
        <v>15</v>
      </c>
      <c r="B16" s="2" t="n">
        <v>7</v>
      </c>
      <c r="C16" s="2" t="s">
        <v>41</v>
      </c>
      <c r="D16" s="2" t="s">
        <v>42</v>
      </c>
      <c r="E16" s="2" t="s">
        <v>43</v>
      </c>
      <c r="F16" s="2" t="str">
        <f aca="false">_xlfn.IFS(Data!N6&gt;=16,"Très bien",Data!N6&gt;=14,"Bien",Data!N6&gt;=12,"Assez bien",Data!N6&gt;=10,"Passable",TRUE(),"")</f>
        <v>Bien</v>
      </c>
      <c r="G16" s="2" t="str">
        <f aca="false">IF(F16=E16,"OK","À vérifier")</f>
        <v>OK</v>
      </c>
    </row>
    <row r="17" customFormat="false" ht="15" hidden="false" customHeight="false" outlineLevel="0" collapsed="false">
      <c r="A17" s="2" t="n">
        <v>16</v>
      </c>
      <c r="B17" s="2" t="n">
        <v>7</v>
      </c>
      <c r="C17" s="2" t="s">
        <v>44</v>
      </c>
      <c r="D17" s="2" t="s">
        <v>45</v>
      </c>
      <c r="E17" s="2" t="n">
        <v>4</v>
      </c>
      <c r="F17" s="2" t="n">
        <f aca="false">COUNTIF(Data!J2:J7,"Commercial")</f>
        <v>4</v>
      </c>
      <c r="G17" s="2" t="str">
        <f aca="false">IF(F17=E17,"OK","À vérifier")</f>
        <v>OK</v>
      </c>
    </row>
    <row r="18" customFormat="false" ht="15" hidden="false" customHeight="false" outlineLevel="0" collapsed="false">
      <c r="A18" s="2" t="n">
        <v>17</v>
      </c>
      <c r="B18" s="2" t="n">
        <v>7</v>
      </c>
      <c r="C18" s="2" t="s">
        <v>46</v>
      </c>
      <c r="D18" s="2" t="s">
        <v>47</v>
      </c>
      <c r="E18" s="2" t="n">
        <v>130000</v>
      </c>
      <c r="F18" s="2" t="n">
        <f aca="false">SUMIF(Data!J2:J7,"Marketing",Data!K2:K7)</f>
        <v>130000</v>
      </c>
      <c r="G18" s="2" t="str">
        <f aca="false">IF(F18=E18,"OK","À vérifier")</f>
        <v>OK</v>
      </c>
    </row>
    <row r="19" customFormat="false" ht="15" hidden="false" customHeight="false" outlineLevel="0" collapsed="false">
      <c r="A19" s="2" t="n">
        <v>18</v>
      </c>
      <c r="B19" s="2" t="n">
        <v>7</v>
      </c>
      <c r="C19" s="2" t="s">
        <v>48</v>
      </c>
      <c r="D19" s="2" t="s">
        <v>49</v>
      </c>
      <c r="E19" s="2" t="n">
        <v>373000</v>
      </c>
      <c r="F19" s="2" t="n">
        <f aca="false">SUMIFS(Data!K2:K7,Data!J2:J7,"Commercial",Data!L2:L7,"&gt;100000")</f>
        <v>373000</v>
      </c>
      <c r="G19" s="2" t="str">
        <f aca="false">IF(F19=E19,"OK","À vérifier")</f>
        <v>OK</v>
      </c>
    </row>
    <row r="20" customFormat="false" ht="15" hidden="false" customHeight="false" outlineLevel="0" collapsed="false">
      <c r="A20" s="2" t="n">
        <v>19</v>
      </c>
      <c r="B20" s="2" t="n">
        <v>7</v>
      </c>
      <c r="C20" s="2" t="s">
        <v>50</v>
      </c>
      <c r="D20" s="2" t="s">
        <v>51</v>
      </c>
      <c r="E20" s="2" t="n">
        <v>3</v>
      </c>
      <c r="F20" s="2" t="n">
        <f aca="false">COUNTIFS(Data!J2:J7,"Commercial",Data!L2:L7,"&gt;100000")</f>
        <v>3</v>
      </c>
      <c r="G20" s="2" t="str">
        <f aca="false">IF(F20=E20,"OK","À vérifier")</f>
        <v>OK</v>
      </c>
    </row>
    <row r="21" customFormat="false" ht="15" hidden="false" customHeight="false" outlineLevel="0" collapsed="false">
      <c r="A21" s="2" t="n">
        <v>20</v>
      </c>
      <c r="B21" s="2" t="n">
        <v>7</v>
      </c>
      <c r="C21" s="2" t="s">
        <v>52</v>
      </c>
      <c r="D21" s="2" t="s">
        <v>53</v>
      </c>
      <c r="E21" s="2" t="n">
        <v>65000</v>
      </c>
      <c r="F21" s="2" t="n">
        <f aca="false">AVERAGEIF(Data!J2:J7,"Marketing",Data!K2:K7)</f>
        <v>65000</v>
      </c>
      <c r="G21" s="2" t="str">
        <f aca="false">IF(F21=E21,"OK","À vérifier")</f>
        <v>OK</v>
      </c>
    </row>
    <row r="22" customFormat="false" ht="15" hidden="false" customHeight="false" outlineLevel="0" collapsed="false">
      <c r="A22" s="2" t="n">
        <v>21</v>
      </c>
      <c r="B22" s="2" t="n">
        <v>7</v>
      </c>
      <c r="C22" s="2" t="s">
        <v>54</v>
      </c>
      <c r="D22" s="2" t="s">
        <v>55</v>
      </c>
      <c r="E22" s="2" t="n">
        <v>0</v>
      </c>
      <c r="F22" s="2" t="n">
        <f aca="false">IFERROR(1/0,0)</f>
        <v>0</v>
      </c>
      <c r="G22" s="2" t="str">
        <f aca="false">IF(F22=E22,"OK","À vérifier")</f>
        <v>OK</v>
      </c>
    </row>
    <row r="23" customFormat="false" ht="15" hidden="false" customHeight="false" outlineLevel="0" collapsed="false">
      <c r="A23" s="2" t="n">
        <v>22</v>
      </c>
      <c r="B23" s="2" t="n">
        <v>13</v>
      </c>
      <c r="C23" s="2" t="s">
        <v>56</v>
      </c>
      <c r="D23" s="2" t="s">
        <v>57</v>
      </c>
      <c r="E23" s="2" t="n">
        <v>601000</v>
      </c>
      <c r="F23" s="2" t="n">
        <f aca="false">SUMIFS(Data!K2:K7,Data!J2:J7,"*")</f>
        <v>601000</v>
      </c>
      <c r="G23" s="2" t="str">
        <f aca="false">IF(F23=E23,"OK","À vérifier")</f>
        <v>OK</v>
      </c>
    </row>
    <row r="24" customFormat="false" ht="15" hidden="false" customHeight="false" outlineLevel="0" collapsed="false">
      <c r="A24" s="2" t="n">
        <v>23</v>
      </c>
      <c r="B24" s="2" t="n">
        <v>8</v>
      </c>
      <c r="C24" s="2" t="s">
        <v>58</v>
      </c>
      <c r="D24" s="2" t="s">
        <v>59</v>
      </c>
      <c r="E24" s="2" t="s">
        <v>60</v>
      </c>
      <c r="F24" s="2" t="str">
        <f aca="false">VLOOKUP("P004",Data!D2:G7,2,FALSE())</f>
        <v>Ramette A4</v>
      </c>
      <c r="G24" s="2" t="str">
        <f aca="false">IF(F24=E24,"OK","À vérifier")</f>
        <v>OK</v>
      </c>
    </row>
    <row r="25" customFormat="false" ht="15" hidden="false" customHeight="false" outlineLevel="0" collapsed="false">
      <c r="A25" s="2" t="n">
        <v>24</v>
      </c>
      <c r="B25" s="2" t="n">
        <v>8</v>
      </c>
      <c r="C25" s="2" t="s">
        <v>61</v>
      </c>
      <c r="D25" s="2" t="s">
        <v>62</v>
      </c>
      <c r="E25" s="2" t="n">
        <v>750</v>
      </c>
      <c r="F25" s="2" t="n">
        <f aca="false">VLOOKUP("P004",Data!D2:G7,3,FALSE())</f>
        <v>750</v>
      </c>
      <c r="G25" s="2" t="str">
        <f aca="false">IF(F25=E25,"OK","À vérifier")</f>
        <v>OK</v>
      </c>
    </row>
    <row r="26" customFormat="false" ht="15" hidden="false" customHeight="false" outlineLevel="0" collapsed="false">
      <c r="A26" s="2" t="n">
        <v>25</v>
      </c>
      <c r="B26" s="2" t="n">
        <v>8</v>
      </c>
      <c r="C26" s="2" t="s">
        <v>63</v>
      </c>
      <c r="D26" s="2" t="s">
        <v>64</v>
      </c>
      <c r="E26" s="2" t="n">
        <v>3</v>
      </c>
      <c r="F26" s="2" t="n">
        <f aca="false">MATCH("C",Data!A1:A3,0)</f>
        <v>3</v>
      </c>
      <c r="G26" s="2" t="str">
        <f aca="false">IF(F26=E26,"OK","À vérifier")</f>
        <v>OK</v>
      </c>
    </row>
    <row r="27" customFormat="false" ht="15" hidden="false" customHeight="false" outlineLevel="0" collapsed="false">
      <c r="A27" s="2" t="n">
        <v>26</v>
      </c>
      <c r="B27" s="2" t="n">
        <v>8</v>
      </c>
      <c r="C27" s="2" t="s">
        <v>65</v>
      </c>
      <c r="D27" s="2" t="s">
        <v>66</v>
      </c>
      <c r="E27" s="2" t="s">
        <v>60</v>
      </c>
      <c r="F27" s="2" t="str">
        <f aca="false">INDEX(Data!E2:E7,4)</f>
        <v>Ramette A4</v>
      </c>
      <c r="G27" s="2" t="str">
        <f aca="false">IF(F27=E27,"OK","À vérifier")</f>
        <v>OK</v>
      </c>
    </row>
    <row r="28" customFormat="false" ht="15" hidden="false" customHeight="false" outlineLevel="0" collapsed="false">
      <c r="A28" s="2" t="n">
        <v>27</v>
      </c>
      <c r="B28" s="2" t="n">
        <v>8</v>
      </c>
      <c r="C28" s="2" t="s">
        <v>67</v>
      </c>
      <c r="D28" s="2" t="s">
        <v>68</v>
      </c>
      <c r="E28" s="2" t="s">
        <v>69</v>
      </c>
      <c r="F28" s="2" t="str">
        <f aca="false">INDEX(Data!E2:E7,MATCH("P006",Data!D2:D7,0))</f>
        <v>Calculatrice</v>
      </c>
      <c r="G28" s="2" t="str">
        <f aca="false">IF(F28=E28,"OK","À vérifier")</f>
        <v>OK</v>
      </c>
    </row>
    <row r="29" customFormat="false" ht="15" hidden="false" customHeight="false" outlineLevel="0" collapsed="false">
      <c r="A29" s="2" t="n">
        <v>28</v>
      </c>
      <c r="B29" s="2" t="n">
        <v>8</v>
      </c>
      <c r="C29" s="2" t="s">
        <v>70</v>
      </c>
      <c r="D29" s="2" t="s">
        <v>71</v>
      </c>
      <c r="E29" s="2" t="s">
        <v>72</v>
      </c>
      <c r="F29" s="2" t="str">
        <f aca="false">INDEX(Data!M2:M6,MATCH(MAX(Data!N2:N6),Data!N2:N6,0))</f>
        <v>Amine</v>
      </c>
      <c r="G29" s="2" t="str">
        <f aca="false">IF(F29=E29,"OK","À vérifier")</f>
        <v>OK</v>
      </c>
    </row>
    <row r="30" customFormat="false" ht="15" hidden="false" customHeight="false" outlineLevel="0" collapsed="false">
      <c r="A30" s="2" t="n">
        <v>29</v>
      </c>
      <c r="B30" s="2" t="n">
        <v>8</v>
      </c>
      <c r="C30" s="2" t="s">
        <v>73</v>
      </c>
      <c r="D30" s="2" t="s">
        <v>74</v>
      </c>
      <c r="E30" s="2" t="s">
        <v>75</v>
      </c>
      <c r="F30" s="2" t="s">
        <v>74</v>
      </c>
      <c r="G30" s="2" t="s">
        <v>76</v>
      </c>
    </row>
    <row r="31" customFormat="false" ht="15" hidden="false" customHeight="false" outlineLevel="0" collapsed="false">
      <c r="A31" s="2" t="n">
        <v>30</v>
      </c>
      <c r="B31" s="2" t="n">
        <v>9</v>
      </c>
      <c r="C31" s="2" t="s">
        <v>77</v>
      </c>
      <c r="D31" s="2" t="s">
        <v>78</v>
      </c>
      <c r="E31" s="2" t="s">
        <v>79</v>
      </c>
      <c r="F31" s="2" t="str">
        <f aca="false">TRIM(Data!R2)</f>
        <v>sami EXEMPLE</v>
      </c>
      <c r="G31" s="2" t="str">
        <f aca="false">IF(F31=E31,"OK","À vérifier")</f>
        <v>OK</v>
      </c>
    </row>
    <row r="32" customFormat="false" ht="15" hidden="false" customHeight="false" outlineLevel="0" collapsed="false">
      <c r="A32" s="2" t="n">
        <v>31</v>
      </c>
      <c r="B32" s="2" t="n">
        <v>9</v>
      </c>
      <c r="C32" s="2" t="s">
        <v>80</v>
      </c>
      <c r="D32" s="2" t="s">
        <v>81</v>
      </c>
      <c r="E32" s="2" t="s">
        <v>13</v>
      </c>
      <c r="F32" s="2" t="str">
        <f aca="false">PROPER(TRIM(Data!R2))</f>
        <v>Sami Exemple</v>
      </c>
      <c r="G32" s="2" t="str">
        <f aca="false">IF(F32=E32,"OK","À vérifier")</f>
        <v>OK</v>
      </c>
    </row>
    <row r="33" customFormat="false" ht="15" hidden="false" customHeight="false" outlineLevel="0" collapsed="false">
      <c r="A33" s="2" t="n">
        <v>32</v>
      </c>
      <c r="B33" s="2" t="n">
        <v>9</v>
      </c>
      <c r="C33" s="2" t="s">
        <v>82</v>
      </c>
      <c r="D33" s="2" t="s">
        <v>83</v>
      </c>
      <c r="E33" s="2" t="s">
        <v>84</v>
      </c>
      <c r="F33" s="2" t="str">
        <f aca="false">UPPER("p004")</f>
        <v>P004</v>
      </c>
      <c r="G33" s="2" t="str">
        <f aca="false">IF(F33=E33,"OK","À vérifier")</f>
        <v>OK</v>
      </c>
    </row>
    <row r="34" customFormat="false" ht="15" hidden="false" customHeight="false" outlineLevel="0" collapsed="false">
      <c r="A34" s="2" t="n">
        <v>33</v>
      </c>
      <c r="B34" s="2" t="n">
        <v>9</v>
      </c>
      <c r="C34" s="2" t="s">
        <v>85</v>
      </c>
      <c r="D34" s="2" t="s">
        <v>86</v>
      </c>
      <c r="E34" s="2" t="s">
        <v>84</v>
      </c>
      <c r="F34" s="2" t="str">
        <f aca="false">LEFT(Data!R4,4)</f>
        <v>P004</v>
      </c>
      <c r="G34" s="2" t="str">
        <f aca="false">IF(F34=E34,"OK","À vérifier")</f>
        <v>OK</v>
      </c>
    </row>
    <row r="35" customFormat="false" ht="15" hidden="false" customHeight="false" outlineLevel="0" collapsed="false">
      <c r="A35" s="2" t="n">
        <v>34</v>
      </c>
      <c r="B35" s="2" t="n">
        <v>9</v>
      </c>
      <c r="C35" s="2" t="s">
        <v>87</v>
      </c>
      <c r="D35" s="2" t="s">
        <v>88</v>
      </c>
      <c r="E35" s="2" t="s">
        <v>89</v>
      </c>
      <c r="F35" s="2" t="str">
        <f aca="false">MID(Data!R5,3,4)</f>
        <v>2026</v>
      </c>
      <c r="G35" s="2" t="str">
        <f aca="false">IF(F35=E35,"OK","À vérifier")</f>
        <v>OK</v>
      </c>
    </row>
    <row r="36" customFormat="false" ht="15" hidden="false" customHeight="false" outlineLevel="0" collapsed="false">
      <c r="A36" s="2" t="n">
        <v>35</v>
      </c>
      <c r="B36" s="2" t="n">
        <v>9</v>
      </c>
      <c r="C36" s="2" t="s">
        <v>90</v>
      </c>
      <c r="D36" s="2" t="s">
        <v>91</v>
      </c>
      <c r="E36" s="2" t="n">
        <v>5</v>
      </c>
      <c r="F36" s="2" t="n">
        <f aca="false">LEN("Excel")</f>
        <v>5</v>
      </c>
      <c r="G36" s="2" t="str">
        <f aca="false">IF(F36=E36,"OK","À vérifier")</f>
        <v>OK</v>
      </c>
    </row>
    <row r="37" customFormat="false" ht="15" hidden="false" customHeight="false" outlineLevel="0" collapsed="false">
      <c r="A37" s="2" t="n">
        <v>36</v>
      </c>
      <c r="B37" s="2" t="n">
        <v>9</v>
      </c>
      <c r="C37" s="2" t="s">
        <v>92</v>
      </c>
      <c r="D37" s="2" t="s">
        <v>93</v>
      </c>
      <c r="E37" s="2" t="n">
        <v>5</v>
      </c>
      <c r="F37" s="2" t="n">
        <f aca="false">FIND(" ",Data!R3)</f>
        <v>5</v>
      </c>
      <c r="G37" s="2" t="str">
        <f aca="false">IF(F37=E37,"OK","À vérifier")</f>
        <v>OK</v>
      </c>
    </row>
    <row r="38" customFormat="false" ht="15" hidden="false" customHeight="false" outlineLevel="0" collapsed="false">
      <c r="A38" s="2" t="n">
        <v>37</v>
      </c>
      <c r="B38" s="2" t="n">
        <v>9</v>
      </c>
      <c r="C38" s="2" t="s">
        <v>94</v>
      </c>
      <c r="D38" s="2" t="s">
        <v>95</v>
      </c>
      <c r="E38" s="2" t="s">
        <v>96</v>
      </c>
      <c r="F38" s="2" t="str">
        <f aca="false">LEFT(Data!R3,FIND(" ",Data!R3)-1)</f>
        <v>Sami</v>
      </c>
      <c r="G38" s="2" t="str">
        <f aca="false">IF(F38=E38,"OK","À vérifier")</f>
        <v>OK</v>
      </c>
    </row>
    <row r="39" customFormat="false" ht="15" hidden="false" customHeight="false" outlineLevel="0" collapsed="false">
      <c r="A39" s="2" t="n">
        <v>38</v>
      </c>
      <c r="B39" s="2" t="n">
        <v>9</v>
      </c>
      <c r="C39" s="2" t="s">
        <v>97</v>
      </c>
      <c r="D39" s="2" t="s">
        <v>98</v>
      </c>
      <c r="E39" s="2" t="s">
        <v>99</v>
      </c>
      <c r="F39" s="2" t="str">
        <f aca="false">UPPER(LEFT(Data!R6,3))</f>
        <v>SAM</v>
      </c>
      <c r="G39" s="2" t="str">
        <f aca="false">IF(F39=E39,"OK","À vérifier")</f>
        <v>OK</v>
      </c>
    </row>
    <row r="40" customFormat="false" ht="15" hidden="false" customHeight="false" outlineLevel="0" collapsed="false">
      <c r="A40" s="2" t="n">
        <v>39</v>
      </c>
      <c r="B40" s="2" t="n">
        <v>9</v>
      </c>
      <c r="C40" s="2" t="s">
        <v>100</v>
      </c>
      <c r="D40" s="2" t="s">
        <v>101</v>
      </c>
      <c r="E40" s="2" t="n">
        <v>28</v>
      </c>
      <c r="F40" s="2" t="n">
        <f aca="false">DATEDIF(Data!P2,Data!P5,"y")</f>
        <v>28</v>
      </c>
      <c r="G40" s="2" t="str">
        <f aca="false">IF(F40=E40,"OK","À vérifier")</f>
        <v>OK</v>
      </c>
    </row>
    <row r="41" customFormat="false" ht="15" hidden="false" customHeight="false" outlineLevel="0" collapsed="false">
      <c r="A41" s="2" t="n">
        <v>40</v>
      </c>
      <c r="B41" s="2" t="n">
        <v>9</v>
      </c>
      <c r="C41" s="2" t="s">
        <v>102</v>
      </c>
      <c r="D41" s="2" t="s">
        <v>103</v>
      </c>
      <c r="E41" s="2" t="n">
        <v>22</v>
      </c>
      <c r="F41" s="2" t="n">
        <f aca="false">NETWORKDAYS(Data!P3,Data!P4)</f>
        <v>22</v>
      </c>
      <c r="G41" s="2" t="str">
        <f aca="false">IF(F41=E41,"OK","À vérifier")</f>
        <v>OK</v>
      </c>
    </row>
    <row r="42" customFormat="false" ht="15" hidden="false" customHeight="false" outlineLevel="0" collapsed="false">
      <c r="A42" s="2" t="n">
        <v>41</v>
      </c>
      <c r="B42" s="2" t="n">
        <v>9</v>
      </c>
      <c r="C42" s="2" t="s">
        <v>104</v>
      </c>
      <c r="D42" s="2" t="s">
        <v>105</v>
      </c>
      <c r="E42" s="2" t="n">
        <v>21</v>
      </c>
      <c r="F42" s="2" t="n">
        <f aca="false">NETWORKDAYS.INTL(Data!P3,Data!P4,7)</f>
        <v>21</v>
      </c>
      <c r="G42" s="2" t="str">
        <f aca="false">IF(F42=E42,"OK","À vérifier")</f>
        <v>OK</v>
      </c>
    </row>
    <row r="43" customFormat="false" ht="15" hidden="false" customHeight="false" outlineLevel="0" collapsed="false">
      <c r="A43" s="2" t="n">
        <v>42</v>
      </c>
      <c r="B43" s="2" t="n">
        <v>9</v>
      </c>
      <c r="C43" s="2" t="s">
        <v>106</v>
      </c>
      <c r="D43" s="2" t="s">
        <v>107</v>
      </c>
      <c r="E43" s="3" t="b">
        <f aca="false">TRUE()</f>
        <v>1</v>
      </c>
      <c r="F43" s="3" t="b">
        <f aca="false">EOMONTH(Data!P5,0)=DATE(2026,10,31)</f>
        <v>1</v>
      </c>
      <c r="G43" s="2" t="str">
        <f aca="false">IF(F43=E43,"OK","À vérifier")</f>
        <v>OK</v>
      </c>
    </row>
    <row r="44" customFormat="false" ht="15" hidden="false" customHeight="false" outlineLevel="0" collapsed="false">
      <c r="A44" s="2" t="n">
        <v>43</v>
      </c>
      <c r="B44" s="2" t="n">
        <v>9</v>
      </c>
      <c r="C44" s="2" t="s">
        <v>108</v>
      </c>
      <c r="D44" s="2" t="s">
        <v>109</v>
      </c>
      <c r="E44" s="3" t="b">
        <f aca="false">TRUE()</f>
        <v>1</v>
      </c>
      <c r="F44" s="3" t="b">
        <f aca="false">DATE(2026,10,5)=Data!P5</f>
        <v>1</v>
      </c>
      <c r="G44" s="2" t="str">
        <f aca="false">IF(F44=E44,"OK","À vérifier")</f>
        <v>OK</v>
      </c>
    </row>
    <row r="45" customFormat="false" ht="15" hidden="false" customHeight="false" outlineLevel="0" collapsed="false">
      <c r="A45" s="2" t="n">
        <v>44</v>
      </c>
      <c r="B45" s="2" t="n">
        <v>9</v>
      </c>
      <c r="C45" s="2" t="s">
        <v>110</v>
      </c>
      <c r="D45" s="2" t="s">
        <v>111</v>
      </c>
      <c r="E45" s="2" t="n">
        <v>20261005</v>
      </c>
      <c r="F45" s="2" t="n">
        <f aca="false">YEAR(Data!P5)*10000+MONTH(Data!P5)*100+DAY(Data!P5)</f>
        <v>20261005</v>
      </c>
      <c r="G45" s="2" t="str">
        <f aca="false">IF(F45=E45,"OK","À vérifier")</f>
        <v>OK</v>
      </c>
    </row>
    <row r="46" customFormat="false" ht="15" hidden="false" customHeight="false" outlineLevel="0" collapsed="false">
      <c r="A46" s="2" t="n">
        <v>45</v>
      </c>
      <c r="B46" s="2" t="n">
        <v>9</v>
      </c>
      <c r="C46" s="2" t="s">
        <v>112</v>
      </c>
      <c r="D46" s="2" t="s">
        <v>74</v>
      </c>
      <c r="E46" s="2" t="s">
        <v>113</v>
      </c>
      <c r="F46" s="2" t="s">
        <v>74</v>
      </c>
      <c r="G46" s="2" t="s">
        <v>76</v>
      </c>
    </row>
    <row r="47" customFormat="false" ht="15" hidden="false" customHeight="false" outlineLevel="0" collapsed="false">
      <c r="A47" s="2" t="n">
        <v>46</v>
      </c>
      <c r="B47" s="2" t="n">
        <v>9</v>
      </c>
      <c r="C47" s="2" t="s">
        <v>114</v>
      </c>
      <c r="D47" s="2" t="s">
        <v>74</v>
      </c>
      <c r="E47" s="2" t="s">
        <v>115</v>
      </c>
      <c r="F47" s="2" t="s">
        <v>74</v>
      </c>
      <c r="G47" s="2" t="s">
        <v>76</v>
      </c>
    </row>
    <row r="48" customFormat="false" ht="15" hidden="false" customHeight="false" outlineLevel="0" collapsed="false">
      <c r="A48" s="2" t="n">
        <v>47</v>
      </c>
      <c r="B48" s="2" t="n">
        <v>10</v>
      </c>
      <c r="C48" s="2" t="s">
        <v>116</v>
      </c>
      <c r="D48" s="2" t="s">
        <v>74</v>
      </c>
      <c r="E48" s="2" t="s">
        <v>117</v>
      </c>
      <c r="F48" s="2" t="s">
        <v>74</v>
      </c>
      <c r="G48" s="2" t="s">
        <v>76</v>
      </c>
    </row>
    <row r="49" customFormat="false" ht="15" hidden="false" customHeight="false" outlineLevel="0" collapsed="false">
      <c r="A49" s="2" t="n">
        <v>48</v>
      </c>
      <c r="B49" s="2" t="n">
        <v>13</v>
      </c>
      <c r="C49" s="2" t="s">
        <v>118</v>
      </c>
      <c r="D49" s="2" t="s">
        <v>119</v>
      </c>
      <c r="E49" s="2" t="n">
        <v>16.96</v>
      </c>
      <c r="F49" s="2" t="n">
        <f aca="false">ROUND(SUMPRODUCT(Data!T2:X2,Data!T3:X3)/SUM(Data!T3:X3),2)</f>
        <v>16.96</v>
      </c>
      <c r="G49" s="2" t="str">
        <f aca="false">IF(F49=E49,"OK","À vérifier")</f>
        <v>OK</v>
      </c>
    </row>
    <row r="50" customFormat="false" ht="15" hidden="false" customHeight="false" outlineLevel="0" collapsed="false">
      <c r="A50" s="2" t="n">
        <v>49</v>
      </c>
      <c r="B50" s="2" t="n">
        <v>13</v>
      </c>
      <c r="C50" s="2" t="s">
        <v>120</v>
      </c>
      <c r="D50" s="2" t="s">
        <v>121</v>
      </c>
      <c r="E50" s="2" t="n">
        <v>1</v>
      </c>
      <c r="F50" s="2" t="n">
        <f aca="false">RANK(Data!N2,Data!N2:N6,0)</f>
        <v>1</v>
      </c>
      <c r="G50" s="2" t="str">
        <f aca="false">IF(F50=E50,"OK","À vérifier")</f>
        <v>OK</v>
      </c>
    </row>
    <row r="52" customFormat="false" ht="15" hidden="false" customHeight="false" outlineLevel="0" collapsed="false">
      <c r="C52" s="4" t="s">
        <v>122</v>
      </c>
      <c r="D52" s="0" t="str">
        <f aca="false">COUNTIF(G2:G50,"OK")&amp;" OK · "&amp;COUNTIF(G2:G50,"À vérifier")&amp;" à vérifier · "&amp;COUNTIF(G2:G50,"MANUEL")&amp;" manuels"</f>
        <v>45 OK · 0 à vérifier · 4 manuels</v>
      </c>
    </row>
  </sheetData>
  <conditionalFormatting sqref="G2:G5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"MANUEL"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P1" s="0" t="s">
        <v>134</v>
      </c>
      <c r="R1" s="0" t="s">
        <v>135</v>
      </c>
      <c r="T1" s="0" t="s">
        <v>136</v>
      </c>
    </row>
    <row r="2" customFormat="false" ht="15" hidden="false" customHeight="false" outlineLevel="0" collapsed="false">
      <c r="A2" s="0" t="s">
        <v>137</v>
      </c>
      <c r="D2" s="0" t="s">
        <v>138</v>
      </c>
      <c r="E2" s="0" t="s">
        <v>139</v>
      </c>
      <c r="F2" s="0" t="n">
        <v>120</v>
      </c>
      <c r="G2" s="0" t="n">
        <v>80</v>
      </c>
      <c r="I2" s="0" t="s">
        <v>140</v>
      </c>
      <c r="J2" s="0" t="s">
        <v>141</v>
      </c>
      <c r="K2" s="0" t="n">
        <v>120000</v>
      </c>
      <c r="L2" s="0" t="n">
        <v>135000</v>
      </c>
      <c r="M2" s="0" t="s">
        <v>72</v>
      </c>
      <c r="N2" s="0" t="n">
        <v>16.96</v>
      </c>
      <c r="P2" s="5" t="n">
        <v>35868</v>
      </c>
      <c r="R2" s="6" t="s">
        <v>142</v>
      </c>
      <c r="T2" s="0" t="n">
        <v>17.5</v>
      </c>
      <c r="U2" s="0" t="n">
        <v>17.75</v>
      </c>
      <c r="V2" s="0" t="n">
        <v>16.75</v>
      </c>
      <c r="W2" s="0" t="n">
        <v>18.25</v>
      </c>
      <c r="X2" s="0" t="n">
        <v>13.75</v>
      </c>
    </row>
    <row r="3" customFormat="false" ht="15" hidden="false" customHeight="false" outlineLevel="0" collapsed="false">
      <c r="A3" s="0" t="s">
        <v>143</v>
      </c>
      <c r="D3" s="0" t="s">
        <v>144</v>
      </c>
      <c r="E3" s="0" t="s">
        <v>145</v>
      </c>
      <c r="F3" s="0" t="n">
        <v>30</v>
      </c>
      <c r="G3" s="0" t="n">
        <v>300</v>
      </c>
      <c r="I3" s="0" t="s">
        <v>146</v>
      </c>
      <c r="J3" s="0" t="s">
        <v>141</v>
      </c>
      <c r="K3" s="0" t="n">
        <v>98000</v>
      </c>
      <c r="L3" s="0" t="n">
        <v>87000</v>
      </c>
      <c r="M3" s="0" t="s">
        <v>147</v>
      </c>
      <c r="N3" s="0" t="n">
        <v>9.4</v>
      </c>
      <c r="P3" s="5" t="n">
        <v>46296</v>
      </c>
      <c r="R3" s="6" t="s">
        <v>13</v>
      </c>
      <c r="T3" s="0" t="n">
        <v>4</v>
      </c>
      <c r="U3" s="0" t="n">
        <v>3</v>
      </c>
      <c r="V3" s="0" t="n">
        <v>3</v>
      </c>
      <c r="W3" s="0" t="n">
        <v>2</v>
      </c>
      <c r="X3" s="0" t="n">
        <v>2</v>
      </c>
    </row>
    <row r="4" customFormat="false" ht="15" hidden="false" customHeight="false" outlineLevel="0" collapsed="false">
      <c r="D4" s="0" t="s">
        <v>148</v>
      </c>
      <c r="E4" s="0" t="s">
        <v>149</v>
      </c>
      <c r="F4" s="0" t="n">
        <v>250</v>
      </c>
      <c r="G4" s="0" t="n">
        <v>45</v>
      </c>
      <c r="I4" s="0" t="s">
        <v>150</v>
      </c>
      <c r="J4" s="0" t="s">
        <v>151</v>
      </c>
      <c r="K4" s="0" t="n">
        <v>76000</v>
      </c>
      <c r="L4" s="0" t="n">
        <v>99000</v>
      </c>
      <c r="M4" s="0" t="s">
        <v>152</v>
      </c>
      <c r="N4" s="0" t="n">
        <v>12.75</v>
      </c>
      <c r="P4" s="5" t="n">
        <v>46326</v>
      </c>
      <c r="R4" s="6" t="s">
        <v>153</v>
      </c>
    </row>
    <row r="5" customFormat="false" ht="15" hidden="false" customHeight="false" outlineLevel="0" collapsed="false">
      <c r="D5" s="0" t="s">
        <v>84</v>
      </c>
      <c r="E5" s="0" t="s">
        <v>60</v>
      </c>
      <c r="F5" s="0" t="n">
        <v>750</v>
      </c>
      <c r="G5" s="0" t="n">
        <v>20</v>
      </c>
      <c r="I5" s="0" t="s">
        <v>154</v>
      </c>
      <c r="J5" s="0" t="s">
        <v>141</v>
      </c>
      <c r="K5" s="0" t="n">
        <v>143000</v>
      </c>
      <c r="L5" s="0" t="n">
        <v>151000</v>
      </c>
      <c r="M5" s="0" t="s">
        <v>155</v>
      </c>
      <c r="N5" s="0" t="n">
        <v>8.2</v>
      </c>
      <c r="P5" s="5" t="n">
        <v>46300</v>
      </c>
      <c r="R5" s="6" t="s">
        <v>156</v>
      </c>
    </row>
    <row r="6" customFormat="false" ht="15" hidden="false" customHeight="false" outlineLevel="0" collapsed="false">
      <c r="D6" s="0" t="s">
        <v>157</v>
      </c>
      <c r="E6" s="0" t="s">
        <v>158</v>
      </c>
      <c r="F6" s="0" t="n">
        <v>400</v>
      </c>
      <c r="G6" s="0" t="n">
        <v>15</v>
      </c>
      <c r="I6" s="0" t="s">
        <v>159</v>
      </c>
      <c r="J6" s="0" t="s">
        <v>151</v>
      </c>
      <c r="K6" s="0" t="n">
        <v>54000</v>
      </c>
      <c r="L6" s="0" t="n">
        <v>61000</v>
      </c>
      <c r="M6" s="0" t="s">
        <v>160</v>
      </c>
      <c r="N6" s="0" t="n">
        <v>14.1</v>
      </c>
      <c r="R6" s="0" t="s">
        <v>96</v>
      </c>
    </row>
    <row r="7" customFormat="false" ht="15" hidden="false" customHeight="false" outlineLevel="0" collapsed="false">
      <c r="D7" s="0" t="s">
        <v>161</v>
      </c>
      <c r="E7" s="0" t="s">
        <v>69</v>
      </c>
      <c r="F7" s="0" t="n">
        <v>1200</v>
      </c>
      <c r="G7" s="0" t="n">
        <v>9</v>
      </c>
      <c r="I7" s="0" t="s">
        <v>162</v>
      </c>
      <c r="J7" s="0" t="s">
        <v>141</v>
      </c>
      <c r="K7" s="0" t="n">
        <v>110000</v>
      </c>
      <c r="L7" s="0" t="n">
        <v>104000</v>
      </c>
      <c r="R7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2026-10-05T15:40:54Z</dcterms:created>
  <dc:creator>openpyxl</dc:creator>
  <dc:description/>
  <dc:language>en-US</dc:language>
  <cp:lastModifiedBy/>
  <dcterms:modified xsi:type="dcterms:W3CDTF">2026-10-05T15:40:54Z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